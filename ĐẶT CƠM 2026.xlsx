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E1F16E50-C45F-41DC-B6A3-4DFAE7A5EE0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eview món" sheetId="10" r:id="rId1"/>
    <sheet name="DEPOSIT" sheetId="5" r:id="rId2"/>
    <sheet name="08-06-2026 (2)" sheetId="35" state="hidden" r:id="rId3"/>
    <sheet name="19-06-2026" sheetId="44" r:id="rId4"/>
    <sheet name="18-06-2026" sheetId="43" r:id="rId5"/>
    <sheet name="17-06-2026" sheetId="42" r:id="rId6"/>
    <sheet name="16-06-2026" sheetId="41" r:id="rId7"/>
    <sheet name="15-06-2026" sheetId="40" r:id="rId8"/>
    <sheet name="12-06-2026" sheetId="39" r:id="rId9"/>
    <sheet name="11-06-2026" sheetId="38" r:id="rId10"/>
    <sheet name="10-06-2026" sheetId="37" r:id="rId11"/>
    <sheet name="09-06-2026" sheetId="36" r:id="rId12"/>
    <sheet name="08-06-2026" sheetId="34" r:id="rId13"/>
    <sheet name="05-06-2026" sheetId="33" r:id="rId14"/>
    <sheet name="04-06-2026" sheetId="32" r:id="rId15"/>
    <sheet name="03-06-2026" sheetId="31" r:id="rId16"/>
    <sheet name="02-06-2026" sheetId="30" r:id="rId17"/>
    <sheet name="01-06-2026" sheetId="29" r:id="rId18"/>
    <sheet name="29-05-2026" sheetId="28" r:id="rId19"/>
    <sheet name="28-05-2026" sheetId="27" r:id="rId20"/>
    <sheet name="27-05-2026" sheetId="26" r:id="rId21"/>
    <sheet name="26-05-2026" sheetId="25" r:id="rId22"/>
    <sheet name="25-05-2026 " sheetId="24" r:id="rId23"/>
    <sheet name="21-05-2026" sheetId="23" r:id="rId24"/>
    <sheet name="20-05-2026" sheetId="22" r:id="rId25"/>
    <sheet name="19-05-2026" sheetId="21" r:id="rId26"/>
    <sheet name="18-05-2026 " sheetId="20" r:id="rId27"/>
    <sheet name="15-05-2026" sheetId="19" r:id="rId28"/>
    <sheet name="14-05-2026" sheetId="18" r:id="rId29"/>
    <sheet name="13-05-2026" sheetId="17" r:id="rId30"/>
    <sheet name="12-05-2026" sheetId="16" r:id="rId31"/>
    <sheet name="11-05-2026" sheetId="15" r:id="rId32"/>
    <sheet name="08-05-2026" sheetId="14" r:id="rId33"/>
    <sheet name="07-05-2026" sheetId="13" r:id="rId34"/>
    <sheet name="06-05-2026" sheetId="12" r:id="rId35"/>
    <sheet name="05-05-2026" sheetId="11" r:id="rId36"/>
    <sheet name="04-05-2026" sheetId="9" r:id="rId37"/>
    <sheet name="24-04-2026" sheetId="8" r:id="rId38"/>
    <sheet name="23-04-2026" sheetId="7" r:id="rId39"/>
    <sheet name="22-04-2026" sheetId="6" r:id="rId40"/>
    <sheet name="21-04-2026" sheetId="4" r:id="rId4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5" l="1"/>
  <c r="B4" i="5"/>
  <c r="B5" i="5"/>
  <c r="C4" i="5"/>
  <c r="C10" i="5"/>
  <c r="C6" i="5"/>
  <c r="B3" i="5"/>
  <c r="B11" i="5"/>
  <c r="C8" i="5"/>
  <c r="C5" i="5"/>
  <c r="B10" i="5"/>
  <c r="C2" i="5"/>
  <c r="B2" i="5"/>
  <c r="B7" i="5"/>
  <c r="K3" i="5"/>
  <c r="K4" i="5"/>
  <c r="K5" i="5"/>
  <c r="K6" i="5"/>
  <c r="K7" i="5"/>
  <c r="K8" i="5"/>
  <c r="K9" i="5"/>
  <c r="K10" i="5"/>
  <c r="K11" i="5"/>
  <c r="K12" i="5"/>
  <c r="K2" i="5"/>
  <c r="A2" i="44" a="1"/>
  <c r="A2" i="44"/>
  <c r="L23" i="44"/>
  <c r="E19" i="44"/>
  <c r="G4" i="44"/>
  <c r="J4" i="44"/>
  <c r="J4" i="5" s="1"/>
  <c r="G6" i="44"/>
  <c r="J6" i="44"/>
  <c r="J6" i="5" s="1"/>
  <c r="M6" i="44"/>
  <c r="G7" i="44"/>
  <c r="J7" i="44"/>
  <c r="J7" i="5" s="1"/>
  <c r="M7" i="44"/>
  <c r="M8" i="44"/>
  <c r="G9" i="44"/>
  <c r="J9" i="44"/>
  <c r="J9" i="5" s="1"/>
  <c r="G10" i="44"/>
  <c r="J10" i="44"/>
  <c r="J10" i="5" s="1"/>
  <c r="G11" i="44"/>
  <c r="J11" i="44"/>
  <c r="J11" i="5" s="1"/>
  <c r="G12" i="44"/>
  <c r="J12" i="44"/>
  <c r="J12" i="5" s="1"/>
  <c r="M12" i="44"/>
  <c r="M14" i="44"/>
  <c r="L3" i="5"/>
  <c r="L4" i="5"/>
  <c r="L5" i="5"/>
  <c r="L6" i="5"/>
  <c r="L7" i="5"/>
  <c r="L8" i="5"/>
  <c r="L9" i="5"/>
  <c r="L10" i="5"/>
  <c r="L11" i="5"/>
  <c r="L12" i="5"/>
  <c r="L2" i="5"/>
  <c r="L23" i="43"/>
  <c r="E19" i="43"/>
  <c r="M12" i="43"/>
  <c r="M14" i="43" s="1"/>
  <c r="M7" i="43"/>
  <c r="G7" i="43"/>
  <c r="J7" i="43" s="1"/>
  <c r="M6" i="43"/>
  <c r="G4" i="43"/>
  <c r="J4" i="43" s="1"/>
  <c r="A2" i="43" a="1"/>
  <c r="A2" i="43" s="1"/>
  <c r="A2" i="42" a="1"/>
  <c r="A2" i="42"/>
  <c r="L23" i="42"/>
  <c r="G4" i="42"/>
  <c r="J4" i="42"/>
  <c r="M6" i="42"/>
  <c r="G7" i="42"/>
  <c r="J7" i="42"/>
  <c r="M7" i="42"/>
  <c r="G8" i="42"/>
  <c r="J8" i="42"/>
  <c r="M8" i="42"/>
  <c r="G6" i="42" s="1"/>
  <c r="J6" i="42" s="1"/>
  <c r="G9" i="42"/>
  <c r="J9" i="42"/>
  <c r="G10" i="42"/>
  <c r="J10" i="42"/>
  <c r="G11" i="42"/>
  <c r="J11" i="42"/>
  <c r="G12" i="42"/>
  <c r="J12" i="42"/>
  <c r="M12" i="42"/>
  <c r="M14" i="42"/>
  <c r="E19" i="42"/>
  <c r="M7" i="5"/>
  <c r="K17" i="5"/>
  <c r="L17" i="5"/>
  <c r="N17" i="5"/>
  <c r="N3" i="5"/>
  <c r="N4" i="5"/>
  <c r="N5" i="5"/>
  <c r="N6" i="5"/>
  <c r="N7" i="5"/>
  <c r="N8" i="5"/>
  <c r="N9" i="5"/>
  <c r="N10" i="5"/>
  <c r="N11" i="5"/>
  <c r="N12" i="5"/>
  <c r="N2" i="5"/>
  <c r="O3" i="5"/>
  <c r="O4" i="5"/>
  <c r="O5" i="5"/>
  <c r="O6" i="5"/>
  <c r="O7" i="5"/>
  <c r="O8" i="5"/>
  <c r="O9" i="5"/>
  <c r="O10" i="5"/>
  <c r="O11" i="5"/>
  <c r="O12" i="5"/>
  <c r="O2" i="5"/>
  <c r="L23" i="41"/>
  <c r="E19" i="41"/>
  <c r="M12" i="41"/>
  <c r="M14" i="41" s="1"/>
  <c r="G11" i="41"/>
  <c r="J11" i="41" s="1"/>
  <c r="M11" i="5" s="1"/>
  <c r="M7" i="41"/>
  <c r="G7" i="41"/>
  <c r="J7" i="41" s="1"/>
  <c r="M6" i="41"/>
  <c r="G4" i="41"/>
  <c r="J4" i="41" s="1"/>
  <c r="M4" i="5" s="1"/>
  <c r="A2" i="41" a="1"/>
  <c r="A2" i="41" s="1"/>
  <c r="G7" i="40"/>
  <c r="A2" i="40" a="1"/>
  <c r="A2" i="40"/>
  <c r="L23" i="40"/>
  <c r="E19" i="40"/>
  <c r="G3" i="40"/>
  <c r="J3" i="40"/>
  <c r="G4" i="40"/>
  <c r="J4" i="40"/>
  <c r="M6" i="40"/>
  <c r="J7" i="40"/>
  <c r="M7" i="40"/>
  <c r="M8" i="40"/>
  <c r="G9" i="40"/>
  <c r="J9" i="40"/>
  <c r="G10" i="40"/>
  <c r="J10" i="40"/>
  <c r="G11" i="40"/>
  <c r="J11" i="40"/>
  <c r="G12" i="40"/>
  <c r="J12" i="40"/>
  <c r="M12" i="40"/>
  <c r="M14" i="40"/>
  <c r="L23" i="39"/>
  <c r="E19" i="39"/>
  <c r="M12" i="39"/>
  <c r="M14" i="39" s="1"/>
  <c r="G12" i="39"/>
  <c r="J12" i="39" s="1"/>
  <c r="G11" i="39"/>
  <c r="J11" i="39" s="1"/>
  <c r="M7" i="39"/>
  <c r="M6" i="39"/>
  <c r="G4" i="39"/>
  <c r="J4" i="39" s="1"/>
  <c r="A2" i="39" a="1"/>
  <c r="A2" i="39" s="1"/>
  <c r="P3" i="5"/>
  <c r="P4" i="5"/>
  <c r="P5" i="5"/>
  <c r="P6" i="5"/>
  <c r="P7" i="5"/>
  <c r="P8" i="5"/>
  <c r="P9" i="5"/>
  <c r="P10" i="5"/>
  <c r="P11" i="5"/>
  <c r="P12" i="5"/>
  <c r="P2" i="5"/>
  <c r="L23" i="38"/>
  <c r="E19" i="38"/>
  <c r="M12" i="38"/>
  <c r="M14" i="38" s="1"/>
  <c r="G12" i="38"/>
  <c r="J12" i="38" s="1"/>
  <c r="G11" i="38"/>
  <c r="J11" i="38" s="1"/>
  <c r="M7" i="38"/>
  <c r="M6" i="38"/>
  <c r="G4" i="38"/>
  <c r="J4" i="38" s="1"/>
  <c r="A2" i="38" a="1"/>
  <c r="A2" i="38" s="1"/>
  <c r="Q3" i="5"/>
  <c r="Q4" i="5"/>
  <c r="Q5" i="5"/>
  <c r="Q6" i="5"/>
  <c r="Q7" i="5"/>
  <c r="Q8" i="5"/>
  <c r="Q9" i="5"/>
  <c r="Q10" i="5"/>
  <c r="Q11" i="5"/>
  <c r="Q12" i="5"/>
  <c r="Q2" i="5"/>
  <c r="L23" i="37"/>
  <c r="E19" i="37"/>
  <c r="M12" i="37"/>
  <c r="M14" i="37" s="1"/>
  <c r="G11" i="37"/>
  <c r="J11" i="37" s="1"/>
  <c r="M7" i="37"/>
  <c r="M6" i="37"/>
  <c r="G6" i="37"/>
  <c r="J6" i="37" s="1"/>
  <c r="G4" i="37"/>
  <c r="J4" i="37" s="1"/>
  <c r="A2" i="37" a="1"/>
  <c r="A2" i="37" s="1"/>
  <c r="O17" i="5"/>
  <c r="P17" i="5"/>
  <c r="Q17" i="5"/>
  <c r="R3" i="5"/>
  <c r="R4" i="5"/>
  <c r="R5" i="5"/>
  <c r="R6" i="5"/>
  <c r="R7" i="5"/>
  <c r="R8" i="5"/>
  <c r="R9" i="5"/>
  <c r="R10" i="5"/>
  <c r="R11" i="5"/>
  <c r="R12" i="5"/>
  <c r="R2" i="5"/>
  <c r="R17" i="5" s="1"/>
  <c r="S3" i="5"/>
  <c r="S4" i="5"/>
  <c r="S5" i="5"/>
  <c r="S6" i="5"/>
  <c r="S7" i="5"/>
  <c r="S8" i="5"/>
  <c r="S9" i="5"/>
  <c r="S10" i="5"/>
  <c r="S11" i="5"/>
  <c r="S12" i="5"/>
  <c r="S2" i="5"/>
  <c r="S17" i="5" s="1"/>
  <c r="L23" i="36"/>
  <c r="E19" i="36"/>
  <c r="M12" i="36"/>
  <c r="M14" i="36" s="1"/>
  <c r="G11" i="36"/>
  <c r="J11" i="36" s="1"/>
  <c r="M7" i="36"/>
  <c r="M6" i="36"/>
  <c r="G4" i="36"/>
  <c r="J4" i="36" s="1"/>
  <c r="A2" i="36" a="1"/>
  <c r="A2" i="36" s="1"/>
  <c r="M7" i="34"/>
  <c r="A2" i="35" a="1"/>
  <c r="A2" i="35"/>
  <c r="L23" i="35"/>
  <c r="G2" i="35"/>
  <c r="J2" i="35"/>
  <c r="G3" i="35"/>
  <c r="J3" i="35"/>
  <c r="G4" i="35"/>
  <c r="J4" i="35"/>
  <c r="G5" i="35"/>
  <c r="J5" i="35"/>
  <c r="G6" i="35"/>
  <c r="J6" i="35"/>
  <c r="M6" i="35"/>
  <c r="G7" i="35"/>
  <c r="J7" i="35"/>
  <c r="M7" i="35"/>
  <c r="G8" i="35"/>
  <c r="J8" i="35"/>
  <c r="M8" i="35"/>
  <c r="G9" i="35"/>
  <c r="J9" i="35"/>
  <c r="G10" i="35"/>
  <c r="J10" i="35"/>
  <c r="G11" i="35"/>
  <c r="J11" i="35"/>
  <c r="G12" i="35"/>
  <c r="J12" i="35"/>
  <c r="M12" i="35"/>
  <c r="M14" i="35"/>
  <c r="G18" i="35"/>
  <c r="J18" i="35"/>
  <c r="E19" i="35"/>
  <c r="A2" i="34" a="1"/>
  <c r="A2" i="34"/>
  <c r="L23" i="34"/>
  <c r="G4" i="34"/>
  <c r="J4" i="34"/>
  <c r="M6" i="34"/>
  <c r="M8" i="34"/>
  <c r="G9" i="34"/>
  <c r="J9" i="34"/>
  <c r="G10" i="34"/>
  <c r="J10" i="34"/>
  <c r="G11" i="34"/>
  <c r="J11" i="34"/>
  <c r="G12" i="34"/>
  <c r="J12" i="34"/>
  <c r="M12" i="34"/>
  <c r="M14" i="34"/>
  <c r="E19" i="34"/>
  <c r="M7" i="33"/>
  <c r="L23" i="33"/>
  <c r="E19" i="33"/>
  <c r="M12" i="33"/>
  <c r="M14" i="33" s="1"/>
  <c r="G12" i="33"/>
  <c r="J12" i="33" s="1"/>
  <c r="T12" i="5" s="1"/>
  <c r="G11" i="33"/>
  <c r="J11" i="33" s="1"/>
  <c r="T11" i="5" s="1"/>
  <c r="M6" i="33"/>
  <c r="G6" i="33"/>
  <c r="J6" i="33" s="1"/>
  <c r="T6" i="5" s="1"/>
  <c r="A2" i="33" a="1"/>
  <c r="A2" i="33" s="1"/>
  <c r="M7" i="32"/>
  <c r="B6" i="5"/>
  <c r="V3" i="5"/>
  <c r="V4" i="5"/>
  <c r="V5" i="5"/>
  <c r="V6" i="5"/>
  <c r="V7" i="5"/>
  <c r="V8" i="5"/>
  <c r="V9" i="5"/>
  <c r="V10" i="5"/>
  <c r="V11" i="5"/>
  <c r="V12" i="5"/>
  <c r="V2" i="5"/>
  <c r="V17" i="5" s="1"/>
  <c r="W3" i="5"/>
  <c r="W4" i="5"/>
  <c r="W5" i="5"/>
  <c r="W6" i="5"/>
  <c r="W7" i="5"/>
  <c r="W8" i="5"/>
  <c r="W9" i="5"/>
  <c r="W10" i="5"/>
  <c r="W11" i="5"/>
  <c r="W12" i="5"/>
  <c r="W2" i="5"/>
  <c r="W17" i="5" s="1"/>
  <c r="L23" i="32"/>
  <c r="E19" i="32"/>
  <c r="M12" i="32"/>
  <c r="M14" i="32" s="1"/>
  <c r="G12" i="32"/>
  <c r="J12" i="32" s="1"/>
  <c r="U12" i="5" s="1"/>
  <c r="G11" i="32"/>
  <c r="J11" i="32" s="1"/>
  <c r="U11" i="5" s="1"/>
  <c r="M6" i="32"/>
  <c r="A2" i="32" a="1"/>
  <c r="A2" i="32" s="1"/>
  <c r="G8" i="31"/>
  <c r="M7" i="31"/>
  <c r="A2" i="31" a="1"/>
  <c r="A2" i="31"/>
  <c r="L23" i="31"/>
  <c r="E19" i="31"/>
  <c r="M6" i="31"/>
  <c r="M8" i="31"/>
  <c r="G6" i="31" s="1"/>
  <c r="J6" i="31" s="1"/>
  <c r="G9" i="31"/>
  <c r="J9" i="31"/>
  <c r="G10" i="31"/>
  <c r="J10" i="31"/>
  <c r="G11" i="31"/>
  <c r="J11" i="31"/>
  <c r="G12" i="31"/>
  <c r="J12" i="31"/>
  <c r="M12" i="31"/>
  <c r="M14" i="31"/>
  <c r="M7" i="30"/>
  <c r="L23" i="30"/>
  <c r="E19" i="30"/>
  <c r="M12" i="30"/>
  <c r="M14" i="30" s="1"/>
  <c r="M6" i="30"/>
  <c r="A2" i="30" a="1"/>
  <c r="A2" i="30" s="1"/>
  <c r="B12" i="5"/>
  <c r="X12" i="5"/>
  <c r="X3" i="5"/>
  <c r="X4" i="5"/>
  <c r="X5" i="5"/>
  <c r="X6" i="5"/>
  <c r="X7" i="5"/>
  <c r="X8" i="5"/>
  <c r="X9" i="5"/>
  <c r="X10" i="5"/>
  <c r="X11" i="5"/>
  <c r="X2" i="5"/>
  <c r="J12" i="29"/>
  <c r="J11" i="29"/>
  <c r="J10" i="29"/>
  <c r="J9" i="29"/>
  <c r="J8" i="29"/>
  <c r="J7" i="29"/>
  <c r="J6" i="29"/>
  <c r="J5" i="29"/>
  <c r="J4" i="29"/>
  <c r="J3" i="29"/>
  <c r="J2" i="29"/>
  <c r="G12" i="29"/>
  <c r="G11" i="29"/>
  <c r="G10" i="29"/>
  <c r="G9" i="29"/>
  <c r="G8" i="29"/>
  <c r="G7" i="29"/>
  <c r="G6" i="29"/>
  <c r="G5" i="29"/>
  <c r="G4" i="29"/>
  <c r="G3" i="29"/>
  <c r="G2" i="29"/>
  <c r="M7" i="29"/>
  <c r="Y3" i="5"/>
  <c r="Y4" i="5"/>
  <c r="Y5" i="5"/>
  <c r="Y6" i="5"/>
  <c r="Y7" i="5"/>
  <c r="Y8" i="5"/>
  <c r="Y9" i="5"/>
  <c r="Y10" i="5"/>
  <c r="Y11" i="5"/>
  <c r="Y2" i="5"/>
  <c r="Y17" i="5" s="1"/>
  <c r="Z3" i="5"/>
  <c r="Z4" i="5"/>
  <c r="Z5" i="5"/>
  <c r="Z6" i="5"/>
  <c r="Z7" i="5"/>
  <c r="Z8" i="5"/>
  <c r="Z9" i="5"/>
  <c r="Z10" i="5"/>
  <c r="Z11" i="5"/>
  <c r="Z2" i="5"/>
  <c r="Z17" i="5" s="1"/>
  <c r="AA3" i="5"/>
  <c r="AA4" i="5"/>
  <c r="AA5" i="5"/>
  <c r="AA6" i="5"/>
  <c r="AA7" i="5"/>
  <c r="AA8" i="5"/>
  <c r="AA9" i="5"/>
  <c r="AA10" i="5"/>
  <c r="AA11" i="5"/>
  <c r="AA2" i="5"/>
  <c r="AA17" i="5" s="1"/>
  <c r="AB3" i="5"/>
  <c r="AB4" i="5"/>
  <c r="AB5" i="5"/>
  <c r="AB6" i="5"/>
  <c r="AB7" i="5"/>
  <c r="AB8" i="5"/>
  <c r="AB9" i="5"/>
  <c r="AB10" i="5"/>
  <c r="AB11" i="5"/>
  <c r="AB2" i="5"/>
  <c r="AB17" i="5" s="1"/>
  <c r="AC3" i="5"/>
  <c r="AC4" i="5"/>
  <c r="AC5" i="5"/>
  <c r="AC6" i="5"/>
  <c r="AC7" i="5"/>
  <c r="AC8" i="5"/>
  <c r="AC9" i="5"/>
  <c r="AC10" i="5"/>
  <c r="AC11" i="5"/>
  <c r="AC2" i="5"/>
  <c r="AC17" i="5" s="1"/>
  <c r="A2" i="29" a="1"/>
  <c r="A2" i="29"/>
  <c r="L23" i="29"/>
  <c r="M6" i="29"/>
  <c r="M8" i="29"/>
  <c r="M12" i="29"/>
  <c r="M14" i="29"/>
  <c r="G18" i="29"/>
  <c r="J18" i="29"/>
  <c r="E19" i="29"/>
  <c r="M7" i="28"/>
  <c r="L23" i="28"/>
  <c r="E19" i="28"/>
  <c r="H16" i="28"/>
  <c r="G16" i="28"/>
  <c r="J16" i="28" s="1"/>
  <c r="H15" i="28"/>
  <c r="G15" i="28"/>
  <c r="J15" i="28" s="1"/>
  <c r="H14" i="28"/>
  <c r="G14" i="28"/>
  <c r="J14" i="28" s="1"/>
  <c r="H13" i="28"/>
  <c r="G13" i="28"/>
  <c r="J13" i="28" s="1"/>
  <c r="M12" i="28"/>
  <c r="M14" i="28" s="1"/>
  <c r="H12" i="28"/>
  <c r="H11" i="28"/>
  <c r="H10" i="28"/>
  <c r="G10" i="28"/>
  <c r="J10" i="28" s="1"/>
  <c r="H9" i="28"/>
  <c r="H8" i="28"/>
  <c r="H7" i="28"/>
  <c r="M6" i="28"/>
  <c r="H6" i="28"/>
  <c r="G6" i="28"/>
  <c r="J6" i="28" s="1"/>
  <c r="H5" i="28"/>
  <c r="H4" i="28"/>
  <c r="H3" i="28"/>
  <c r="H2" i="28"/>
  <c r="A2" i="28" a="1"/>
  <c r="A2" i="28" s="1"/>
  <c r="A2" i="27" a="1"/>
  <c r="A2" i="27"/>
  <c r="L23" i="27"/>
  <c r="H2" i="27"/>
  <c r="H3" i="27"/>
  <c r="H4" i="27"/>
  <c r="H5" i="27"/>
  <c r="G6" i="27"/>
  <c r="H6" i="27"/>
  <c r="J6" i="27"/>
  <c r="M6" i="27"/>
  <c r="H7" i="27"/>
  <c r="M7" i="27"/>
  <c r="H8" i="27"/>
  <c r="M8" i="27"/>
  <c r="G9" i="27"/>
  <c r="H9" i="27"/>
  <c r="J9" i="27"/>
  <c r="G10" i="27"/>
  <c r="H10" i="27"/>
  <c r="J10" i="27"/>
  <c r="G11" i="27"/>
  <c r="H11" i="27"/>
  <c r="J11" i="27"/>
  <c r="G12" i="27"/>
  <c r="H12" i="27"/>
  <c r="J12" i="27"/>
  <c r="M12" i="27"/>
  <c r="G13" i="27"/>
  <c r="H13" i="27"/>
  <c r="J13" i="27"/>
  <c r="G14" i="27"/>
  <c r="H14" i="27"/>
  <c r="J14" i="27"/>
  <c r="M14" i="27"/>
  <c r="G15" i="27"/>
  <c r="H15" i="27"/>
  <c r="J15" i="27"/>
  <c r="G16" i="27"/>
  <c r="H16" i="27"/>
  <c r="J16" i="27"/>
  <c r="E19" i="27"/>
  <c r="L23" i="26"/>
  <c r="E19" i="26"/>
  <c r="H16" i="26"/>
  <c r="G16" i="26"/>
  <c r="J16" i="26" s="1"/>
  <c r="H15" i="26"/>
  <c r="G15" i="26"/>
  <c r="J15" i="26" s="1"/>
  <c r="H14" i="26"/>
  <c r="G14" i="26"/>
  <c r="J14" i="26" s="1"/>
  <c r="H13" i="26"/>
  <c r="G13" i="26"/>
  <c r="J13" i="26" s="1"/>
  <c r="M12" i="26"/>
  <c r="M14" i="26" s="1"/>
  <c r="H12" i="26"/>
  <c r="H11" i="26"/>
  <c r="H10" i="26"/>
  <c r="G10" i="26"/>
  <c r="J10" i="26" s="1"/>
  <c r="H9" i="26"/>
  <c r="H8" i="26"/>
  <c r="M7" i="26"/>
  <c r="H7" i="26"/>
  <c r="M6" i="26"/>
  <c r="H6" i="26"/>
  <c r="H5" i="26"/>
  <c r="H4" i="26"/>
  <c r="H3" i="26"/>
  <c r="H2" i="26"/>
  <c r="A2" i="26" a="1"/>
  <c r="A2" i="26" s="1"/>
  <c r="M7" i="25"/>
  <c r="L23" i="25"/>
  <c r="E19" i="25"/>
  <c r="H16" i="25"/>
  <c r="G16" i="25"/>
  <c r="J16" i="25" s="1"/>
  <c r="H15" i="25"/>
  <c r="G15" i="25"/>
  <c r="J15" i="25" s="1"/>
  <c r="H14" i="25"/>
  <c r="G14" i="25"/>
  <c r="J14" i="25" s="1"/>
  <c r="H13" i="25"/>
  <c r="G13" i="25"/>
  <c r="J13" i="25" s="1"/>
  <c r="M12" i="25"/>
  <c r="M14" i="25" s="1"/>
  <c r="H12" i="25"/>
  <c r="G12" i="25"/>
  <c r="J12" i="25" s="1"/>
  <c r="H11" i="25"/>
  <c r="H10" i="25"/>
  <c r="H9" i="25"/>
  <c r="H8" i="25"/>
  <c r="H7" i="25"/>
  <c r="M6" i="25"/>
  <c r="H6" i="25"/>
  <c r="G6" i="25"/>
  <c r="J6" i="25" s="1"/>
  <c r="H5" i="25"/>
  <c r="H4" i="25"/>
  <c r="H3" i="25"/>
  <c r="G3" i="25"/>
  <c r="J3" i="25" s="1"/>
  <c r="H2" i="25"/>
  <c r="A2" i="25" a="1"/>
  <c r="A2" i="25" s="1"/>
  <c r="M7" i="24"/>
  <c r="B9" i="5"/>
  <c r="AD3" i="5"/>
  <c r="AD4" i="5"/>
  <c r="AD5" i="5"/>
  <c r="AD6" i="5"/>
  <c r="AD7" i="5"/>
  <c r="AD8" i="5"/>
  <c r="AD9" i="5"/>
  <c r="AD10" i="5"/>
  <c r="AD11" i="5"/>
  <c r="AD2" i="5"/>
  <c r="AD17" i="5" s="1"/>
  <c r="AE3" i="5"/>
  <c r="AE4" i="5"/>
  <c r="AE5" i="5"/>
  <c r="AE6" i="5"/>
  <c r="AE7" i="5"/>
  <c r="AE8" i="5"/>
  <c r="AE9" i="5"/>
  <c r="AE10" i="5"/>
  <c r="AE11" i="5"/>
  <c r="AE2" i="5"/>
  <c r="AE17" i="5" s="1"/>
  <c r="A2" i="24" a="1"/>
  <c r="A2" i="24"/>
  <c r="L23" i="24"/>
  <c r="E19" i="24"/>
  <c r="H2" i="24"/>
  <c r="H3" i="24"/>
  <c r="H4" i="24"/>
  <c r="H5" i="24"/>
  <c r="G6" i="24"/>
  <c r="H6" i="24"/>
  <c r="J6" i="24"/>
  <c r="M6" i="24"/>
  <c r="H7" i="24"/>
  <c r="G8" i="24"/>
  <c r="H8" i="24"/>
  <c r="J8" i="24"/>
  <c r="M8" i="24"/>
  <c r="G4" i="24" s="1"/>
  <c r="J4" i="24" s="1"/>
  <c r="G9" i="24"/>
  <c r="H9" i="24"/>
  <c r="J9" i="24"/>
  <c r="G10" i="24"/>
  <c r="H10" i="24"/>
  <c r="J10" i="24"/>
  <c r="G11" i="24"/>
  <c r="H11" i="24"/>
  <c r="J11" i="24"/>
  <c r="G12" i="24"/>
  <c r="H12" i="24"/>
  <c r="J12" i="24"/>
  <c r="M12" i="24"/>
  <c r="G13" i="24"/>
  <c r="H13" i="24"/>
  <c r="J13" i="24"/>
  <c r="G14" i="24"/>
  <c r="H14" i="24"/>
  <c r="J14" i="24"/>
  <c r="M14" i="24"/>
  <c r="G15" i="24"/>
  <c r="H15" i="24"/>
  <c r="J15" i="24"/>
  <c r="G16" i="24"/>
  <c r="H16" i="24"/>
  <c r="J16" i="24"/>
  <c r="L23" i="23"/>
  <c r="E19" i="23"/>
  <c r="H16" i="23"/>
  <c r="G16" i="23"/>
  <c r="J16" i="23" s="1"/>
  <c r="H15" i="23"/>
  <c r="G15" i="23"/>
  <c r="J15" i="23" s="1"/>
  <c r="H14" i="23"/>
  <c r="G14" i="23"/>
  <c r="J14" i="23" s="1"/>
  <c r="H13" i="23"/>
  <c r="G13" i="23"/>
  <c r="J13" i="23" s="1"/>
  <c r="M12" i="23"/>
  <c r="M14" i="23" s="1"/>
  <c r="H12" i="23"/>
  <c r="G12" i="23"/>
  <c r="J12" i="23" s="1"/>
  <c r="H11" i="23"/>
  <c r="G11" i="23"/>
  <c r="J11" i="23" s="1"/>
  <c r="H10" i="23"/>
  <c r="H9" i="23"/>
  <c r="H8" i="23"/>
  <c r="G8" i="23"/>
  <c r="J8" i="23" s="1"/>
  <c r="M7" i="23"/>
  <c r="H7" i="23"/>
  <c r="M6" i="23"/>
  <c r="H6" i="23"/>
  <c r="G6" i="23"/>
  <c r="J6" i="23" s="1"/>
  <c r="H5" i="23"/>
  <c r="H4" i="23"/>
  <c r="G4" i="23"/>
  <c r="J4" i="23" s="1"/>
  <c r="H3" i="23"/>
  <c r="H2" i="23"/>
  <c r="A2" i="23" a="1"/>
  <c r="A2" i="23" s="1"/>
  <c r="L23" i="22"/>
  <c r="E19" i="22"/>
  <c r="H16" i="22"/>
  <c r="G16" i="22"/>
  <c r="J16" i="22" s="1"/>
  <c r="H15" i="22"/>
  <c r="G15" i="22"/>
  <c r="J15" i="22" s="1"/>
  <c r="H14" i="22"/>
  <c r="G14" i="22"/>
  <c r="J14" i="22" s="1"/>
  <c r="H13" i="22"/>
  <c r="G13" i="22"/>
  <c r="J13" i="22" s="1"/>
  <c r="M12" i="22"/>
  <c r="M14" i="22" s="1"/>
  <c r="H12" i="22"/>
  <c r="G12" i="22"/>
  <c r="J12" i="22" s="1"/>
  <c r="H11" i="22"/>
  <c r="G11" i="22"/>
  <c r="J11" i="22" s="1"/>
  <c r="H10" i="22"/>
  <c r="H9" i="22"/>
  <c r="H8" i="22"/>
  <c r="M7" i="22"/>
  <c r="H7" i="22"/>
  <c r="M6" i="22"/>
  <c r="H6" i="22"/>
  <c r="G6" i="22"/>
  <c r="J6" i="22" s="1"/>
  <c r="H5" i="22"/>
  <c r="H4" i="22"/>
  <c r="G4" i="22"/>
  <c r="J4" i="22" s="1"/>
  <c r="H3" i="22"/>
  <c r="G3" i="22"/>
  <c r="J3" i="22" s="1"/>
  <c r="H2" i="22"/>
  <c r="A2" i="22" a="1"/>
  <c r="A2" i="22" s="1"/>
  <c r="AF3" i="5"/>
  <c r="AF4" i="5"/>
  <c r="AF5" i="5"/>
  <c r="AF6" i="5"/>
  <c r="AF7" i="5"/>
  <c r="AF8" i="5"/>
  <c r="AF9" i="5"/>
  <c r="AF10" i="5"/>
  <c r="AF11" i="5"/>
  <c r="AF2" i="5"/>
  <c r="AF17" i="5"/>
  <c r="M7" i="21"/>
  <c r="L23" i="21"/>
  <c r="E19" i="21"/>
  <c r="H16" i="21"/>
  <c r="G16" i="21"/>
  <c r="J16" i="21" s="1"/>
  <c r="H15" i="21"/>
  <c r="G15" i="21"/>
  <c r="J15" i="21" s="1"/>
  <c r="H14" i="21"/>
  <c r="G14" i="21"/>
  <c r="J14" i="21" s="1"/>
  <c r="H13" i="21"/>
  <c r="G13" i="21"/>
  <c r="J13" i="21" s="1"/>
  <c r="M12" i="21"/>
  <c r="M14" i="21" s="1"/>
  <c r="H12" i="21"/>
  <c r="G12" i="21"/>
  <c r="J12" i="21" s="1"/>
  <c r="H11" i="21"/>
  <c r="H10" i="21"/>
  <c r="H9" i="21"/>
  <c r="H8" i="21"/>
  <c r="H7" i="21"/>
  <c r="M6" i="21"/>
  <c r="H6" i="21"/>
  <c r="G6" i="21"/>
  <c r="J6" i="21" s="1"/>
  <c r="H5" i="21"/>
  <c r="H4" i="21"/>
  <c r="H3" i="21"/>
  <c r="H2" i="21"/>
  <c r="A2" i="21" a="1"/>
  <c r="A2" i="21" s="1"/>
  <c r="AG3" i="5"/>
  <c r="AG4" i="5"/>
  <c r="AG5" i="5"/>
  <c r="AG6" i="5"/>
  <c r="AG7" i="5"/>
  <c r="AG8" i="5"/>
  <c r="AG9" i="5"/>
  <c r="AG10" i="5"/>
  <c r="AG11" i="5"/>
  <c r="AG2" i="5"/>
  <c r="AG17" i="5" s="1"/>
  <c r="M7" i="20"/>
  <c r="L23" i="20"/>
  <c r="E19" i="20"/>
  <c r="H16" i="20"/>
  <c r="G16" i="20"/>
  <c r="J16" i="20" s="1"/>
  <c r="H15" i="20"/>
  <c r="G15" i="20"/>
  <c r="J15" i="20" s="1"/>
  <c r="H14" i="20"/>
  <c r="G14" i="20"/>
  <c r="J14" i="20" s="1"/>
  <c r="H13" i="20"/>
  <c r="G13" i="20"/>
  <c r="J13" i="20" s="1"/>
  <c r="M12" i="20"/>
  <c r="M14" i="20" s="1"/>
  <c r="H12" i="20"/>
  <c r="G12" i="20"/>
  <c r="J12" i="20" s="1"/>
  <c r="H11" i="20"/>
  <c r="H10" i="20"/>
  <c r="H9" i="20"/>
  <c r="H8" i="20"/>
  <c r="H7" i="20"/>
  <c r="M6" i="20"/>
  <c r="H6" i="20"/>
  <c r="G6" i="20"/>
  <c r="J6" i="20" s="1"/>
  <c r="H5" i="20"/>
  <c r="H4" i="20"/>
  <c r="H3" i="20"/>
  <c r="H2" i="20"/>
  <c r="A2" i="20" a="1"/>
  <c r="A2" i="20" s="1"/>
  <c r="AH3" i="5"/>
  <c r="AH4" i="5"/>
  <c r="AH5" i="5"/>
  <c r="AH6" i="5"/>
  <c r="AH7" i="5"/>
  <c r="AH8" i="5"/>
  <c r="AH9" i="5"/>
  <c r="AH10" i="5"/>
  <c r="AH11" i="5"/>
  <c r="AH2" i="5"/>
  <c r="M7" i="19"/>
  <c r="L23" i="19"/>
  <c r="E19" i="19"/>
  <c r="H16" i="19"/>
  <c r="G16" i="19"/>
  <c r="J16" i="19" s="1"/>
  <c r="H15" i="19"/>
  <c r="G15" i="19"/>
  <c r="J15" i="19" s="1"/>
  <c r="H14" i="19"/>
  <c r="G14" i="19"/>
  <c r="J14" i="19" s="1"/>
  <c r="H13" i="19"/>
  <c r="G13" i="19"/>
  <c r="J13" i="19" s="1"/>
  <c r="M12" i="19"/>
  <c r="M14" i="19" s="1"/>
  <c r="H12" i="19"/>
  <c r="G12" i="19"/>
  <c r="J12" i="19" s="1"/>
  <c r="H11" i="19"/>
  <c r="H10" i="19"/>
  <c r="H9" i="19"/>
  <c r="H8" i="19"/>
  <c r="G8" i="19"/>
  <c r="J8" i="19" s="1"/>
  <c r="H7" i="19"/>
  <c r="M6" i="19"/>
  <c r="H6" i="19"/>
  <c r="H5" i="19"/>
  <c r="H4" i="19"/>
  <c r="H3" i="19"/>
  <c r="H2" i="19"/>
  <c r="A2" i="19" a="1"/>
  <c r="A2" i="19" s="1"/>
  <c r="M7" i="18"/>
  <c r="A2" i="18" a="1"/>
  <c r="A2" i="18"/>
  <c r="L23" i="18"/>
  <c r="E19" i="18"/>
  <c r="H2" i="18"/>
  <c r="G3" i="18"/>
  <c r="H3" i="18"/>
  <c r="J3" i="18"/>
  <c r="AI3" i="5" s="1"/>
  <c r="H4" i="18"/>
  <c r="H5" i="18"/>
  <c r="H6" i="18"/>
  <c r="M6" i="18"/>
  <c r="H7" i="18"/>
  <c r="G8" i="18"/>
  <c r="H8" i="18"/>
  <c r="J8" i="18"/>
  <c r="AI8" i="5" s="1"/>
  <c r="M8" i="18"/>
  <c r="G5" i="18" s="1"/>
  <c r="J5" i="18" s="1"/>
  <c r="AI5" i="5" s="1"/>
  <c r="G9" i="18"/>
  <c r="H9" i="18"/>
  <c r="J9" i="18"/>
  <c r="AI9" i="5" s="1"/>
  <c r="G10" i="18"/>
  <c r="H10" i="18"/>
  <c r="J10" i="18"/>
  <c r="AI10" i="5" s="1"/>
  <c r="G11" i="18"/>
  <c r="H11" i="18"/>
  <c r="J11" i="18"/>
  <c r="AI11" i="5" s="1"/>
  <c r="G12" i="18"/>
  <c r="H12" i="18"/>
  <c r="J12" i="18"/>
  <c r="M12" i="18"/>
  <c r="G13" i="18"/>
  <c r="H13" i="18"/>
  <c r="J13" i="18"/>
  <c r="G14" i="18"/>
  <c r="H14" i="18"/>
  <c r="J14" i="18"/>
  <c r="M14" i="18"/>
  <c r="G15" i="18"/>
  <c r="H15" i="18"/>
  <c r="J15" i="18"/>
  <c r="G16" i="18"/>
  <c r="H16" i="18"/>
  <c r="J16" i="18"/>
  <c r="AJ3" i="5"/>
  <c r="AJ4" i="5"/>
  <c r="AJ5" i="5"/>
  <c r="AJ6" i="5"/>
  <c r="AJ7" i="5"/>
  <c r="AJ8" i="5"/>
  <c r="AJ9" i="5"/>
  <c r="AJ10" i="5"/>
  <c r="AJ11" i="5"/>
  <c r="AJ2" i="5"/>
  <c r="M7" i="17"/>
  <c r="AH17" i="5"/>
  <c r="AJ17" i="5"/>
  <c r="AK3" i="5"/>
  <c r="AK4" i="5"/>
  <c r="AK5" i="5"/>
  <c r="AK6" i="5"/>
  <c r="AK7" i="5"/>
  <c r="AK8" i="5"/>
  <c r="AK9" i="5"/>
  <c r="AK10" i="5"/>
  <c r="AK11" i="5"/>
  <c r="AK2" i="5"/>
  <c r="AK17" i="5" s="1"/>
  <c r="AL3" i="5"/>
  <c r="AL4" i="5"/>
  <c r="AL5" i="5"/>
  <c r="AL6" i="5"/>
  <c r="AL7" i="5"/>
  <c r="AL8" i="5"/>
  <c r="AL9" i="5"/>
  <c r="AL10" i="5"/>
  <c r="AL11" i="5"/>
  <c r="AL2" i="5"/>
  <c r="AL17" i="5" s="1"/>
  <c r="L23" i="17"/>
  <c r="E19" i="17"/>
  <c r="H16" i="17"/>
  <c r="G16" i="17"/>
  <c r="J16" i="17" s="1"/>
  <c r="H15" i="17"/>
  <c r="G15" i="17"/>
  <c r="J15" i="17" s="1"/>
  <c r="H14" i="17"/>
  <c r="G14" i="17"/>
  <c r="J14" i="17" s="1"/>
  <c r="H13" i="17"/>
  <c r="G13" i="17"/>
  <c r="J13" i="17" s="1"/>
  <c r="M12" i="17"/>
  <c r="M14" i="17" s="1"/>
  <c r="H12" i="17"/>
  <c r="G12" i="17"/>
  <c r="J12" i="17" s="1"/>
  <c r="H11" i="17"/>
  <c r="H10" i="17"/>
  <c r="H9" i="17"/>
  <c r="H8" i="17"/>
  <c r="H7" i="17"/>
  <c r="M6" i="17"/>
  <c r="M8" i="17" s="1"/>
  <c r="H6" i="17"/>
  <c r="G6" i="17"/>
  <c r="J6" i="17" s="1"/>
  <c r="H5" i="17"/>
  <c r="G5" i="17"/>
  <c r="J5" i="17" s="1"/>
  <c r="H4" i="17"/>
  <c r="G4" i="17"/>
  <c r="J4" i="17" s="1"/>
  <c r="H3" i="17"/>
  <c r="G3" i="17"/>
  <c r="J3" i="17" s="1"/>
  <c r="H2" i="17"/>
  <c r="G2" i="17"/>
  <c r="A2" i="17" a="1"/>
  <c r="A2" i="17" s="1"/>
  <c r="L23" i="16"/>
  <c r="E19" i="16"/>
  <c r="H16" i="16"/>
  <c r="G16" i="16"/>
  <c r="J16" i="16" s="1"/>
  <c r="H15" i="16"/>
  <c r="G15" i="16"/>
  <c r="J15" i="16" s="1"/>
  <c r="H14" i="16"/>
  <c r="G14" i="16"/>
  <c r="J14" i="16" s="1"/>
  <c r="H13" i="16"/>
  <c r="G13" i="16"/>
  <c r="J13" i="16" s="1"/>
  <c r="M12" i="16"/>
  <c r="M14" i="16" s="1"/>
  <c r="H12" i="16"/>
  <c r="G12" i="16"/>
  <c r="J12" i="16" s="1"/>
  <c r="H11" i="16"/>
  <c r="H10" i="16"/>
  <c r="H9" i="16"/>
  <c r="H8" i="16"/>
  <c r="H7" i="16"/>
  <c r="M6" i="16"/>
  <c r="H6" i="16"/>
  <c r="H5" i="16"/>
  <c r="H4" i="16"/>
  <c r="H3" i="16"/>
  <c r="H2" i="16"/>
  <c r="A2" i="16" a="1"/>
  <c r="A2" i="16" s="1"/>
  <c r="M7" i="15"/>
  <c r="L23" i="15"/>
  <c r="E19" i="15"/>
  <c r="H16" i="15"/>
  <c r="G16" i="15"/>
  <c r="J16" i="15" s="1"/>
  <c r="H15" i="15"/>
  <c r="G15" i="15"/>
  <c r="J15" i="15" s="1"/>
  <c r="H14" i="15"/>
  <c r="G14" i="15"/>
  <c r="J14" i="15" s="1"/>
  <c r="H13" i="15"/>
  <c r="G13" i="15"/>
  <c r="J13" i="15" s="1"/>
  <c r="M12" i="15"/>
  <c r="M14" i="15" s="1"/>
  <c r="H12" i="15"/>
  <c r="G12" i="15"/>
  <c r="J12" i="15" s="1"/>
  <c r="H11" i="15"/>
  <c r="H10" i="15"/>
  <c r="H9" i="15"/>
  <c r="H8" i="15"/>
  <c r="G8" i="15"/>
  <c r="J8" i="15" s="1"/>
  <c r="H7" i="15"/>
  <c r="M6" i="15"/>
  <c r="H6" i="15"/>
  <c r="H5" i="15"/>
  <c r="H4" i="15"/>
  <c r="H3" i="15"/>
  <c r="H2" i="15"/>
  <c r="A2" i="15" a="1"/>
  <c r="A2" i="15" s="1"/>
  <c r="G12" i="7"/>
  <c r="G6" i="14"/>
  <c r="G12" i="11"/>
  <c r="G6" i="7"/>
  <c r="G6" i="8" a="1"/>
  <c r="G6" i="8"/>
  <c r="G6" i="9"/>
  <c r="G6" i="11"/>
  <c r="G6" i="12"/>
  <c r="G6" i="13"/>
  <c r="M7" i="14"/>
  <c r="G12" i="13"/>
  <c r="G12" i="14"/>
  <c r="L23" i="14"/>
  <c r="E19" i="14"/>
  <c r="H16" i="14"/>
  <c r="G16" i="14"/>
  <c r="J16" i="14" s="1"/>
  <c r="H15" i="14"/>
  <c r="G15" i="14"/>
  <c r="J15" i="14" s="1"/>
  <c r="H14" i="14"/>
  <c r="G14" i="14"/>
  <c r="J14" i="14" s="1"/>
  <c r="H13" i="14"/>
  <c r="G13" i="14"/>
  <c r="J13" i="14" s="1"/>
  <c r="M12" i="14"/>
  <c r="M14" i="14" s="1"/>
  <c r="H12" i="14"/>
  <c r="H11" i="14"/>
  <c r="H10" i="14"/>
  <c r="H9" i="14"/>
  <c r="H8" i="14"/>
  <c r="H7" i="14"/>
  <c r="M6" i="14"/>
  <c r="M8" i="14" s="1"/>
  <c r="H6" i="14"/>
  <c r="J6" i="14"/>
  <c r="H5" i="14"/>
  <c r="G5" i="14"/>
  <c r="J5" i="14" s="1"/>
  <c r="AM5" i="5" s="1"/>
  <c r="H4" i="14"/>
  <c r="G4" i="14"/>
  <c r="J4" i="14" s="1"/>
  <c r="AM4" i="5" s="1"/>
  <c r="H3" i="14"/>
  <c r="G3" i="14"/>
  <c r="J3" i="14" s="1"/>
  <c r="AM3" i="5" s="1"/>
  <c r="H2" i="14"/>
  <c r="G2" i="14"/>
  <c r="A2" i="14" a="1"/>
  <c r="A2" i="14" s="1"/>
  <c r="L23" i="13"/>
  <c r="E19" i="13"/>
  <c r="H16" i="13"/>
  <c r="G16" i="13"/>
  <c r="J16" i="13" s="1"/>
  <c r="H15" i="13"/>
  <c r="G15" i="13"/>
  <c r="J15" i="13" s="1"/>
  <c r="H14" i="13"/>
  <c r="G14" i="13"/>
  <c r="J14" i="13" s="1"/>
  <c r="H13" i="13"/>
  <c r="G13" i="13"/>
  <c r="J13" i="13" s="1"/>
  <c r="M12" i="13"/>
  <c r="M14" i="13" s="1"/>
  <c r="H12" i="13"/>
  <c r="H11" i="13"/>
  <c r="H10" i="13"/>
  <c r="H9" i="13"/>
  <c r="H8" i="13"/>
  <c r="H7" i="13"/>
  <c r="M6" i="13"/>
  <c r="H6" i="13"/>
  <c r="J6" i="13"/>
  <c r="AN6" i="5" s="1"/>
  <c r="H5" i="13"/>
  <c r="H4" i="13"/>
  <c r="G4" i="13"/>
  <c r="J4" i="13" s="1"/>
  <c r="AN4" i="5" s="1"/>
  <c r="H3" i="13"/>
  <c r="H2" i="13"/>
  <c r="A2" i="13" a="1"/>
  <c r="A2" i="13" s="1"/>
  <c r="AU24" i="5"/>
  <c r="AU23" i="5"/>
  <c r="AU25" i="5" s="1"/>
  <c r="AO3" i="5"/>
  <c r="AO4" i="5"/>
  <c r="AO5" i="5"/>
  <c r="AO7" i="5"/>
  <c r="AO8" i="5"/>
  <c r="AO9" i="5"/>
  <c r="AO10" i="5"/>
  <c r="AO11" i="5"/>
  <c r="AO2" i="5"/>
  <c r="L23" i="12"/>
  <c r="E19" i="12"/>
  <c r="H16" i="12"/>
  <c r="G16" i="12"/>
  <c r="J16" i="12" s="1"/>
  <c r="H15" i="12"/>
  <c r="G15" i="12"/>
  <c r="J15" i="12" s="1"/>
  <c r="H14" i="12"/>
  <c r="G14" i="12"/>
  <c r="J14" i="12" s="1"/>
  <c r="H13" i="12"/>
  <c r="G13" i="12"/>
  <c r="J13" i="12" s="1"/>
  <c r="M12" i="12"/>
  <c r="M14" i="12" s="1"/>
  <c r="H12" i="12"/>
  <c r="H11" i="12"/>
  <c r="H10" i="12"/>
  <c r="H9" i="12"/>
  <c r="H8" i="12"/>
  <c r="H7" i="12"/>
  <c r="M6" i="12"/>
  <c r="M8" i="12" s="1"/>
  <c r="G8" i="12" s="1"/>
  <c r="J8" i="12" s="1"/>
  <c r="H6" i="12"/>
  <c r="J6" i="12"/>
  <c r="AO6" i="5" s="1"/>
  <c r="H5" i="12"/>
  <c r="G5" i="12"/>
  <c r="J5" i="12" s="1"/>
  <c r="H4" i="12"/>
  <c r="G4" i="12"/>
  <c r="J4" i="12" s="1"/>
  <c r="H3" i="12"/>
  <c r="G3" i="12"/>
  <c r="J3" i="12" s="1"/>
  <c r="H2" i="12"/>
  <c r="G2" i="12"/>
  <c r="A2" i="12" a="1"/>
  <c r="A2" i="12" s="1"/>
  <c r="AP3" i="5"/>
  <c r="AP4" i="5"/>
  <c r="AP5" i="5"/>
  <c r="AP7" i="5"/>
  <c r="AP8" i="5"/>
  <c r="AP9" i="5"/>
  <c r="AP10" i="5"/>
  <c r="AP11" i="5"/>
  <c r="AP2" i="5"/>
  <c r="L23" i="11"/>
  <c r="E19" i="11"/>
  <c r="H16" i="11"/>
  <c r="G16" i="11"/>
  <c r="J16" i="11"/>
  <c r="H15" i="11"/>
  <c r="G15" i="11"/>
  <c r="J15" i="11"/>
  <c r="H14" i="11"/>
  <c r="H13" i="11"/>
  <c r="G13" i="11"/>
  <c r="J13" i="11"/>
  <c r="M12" i="11"/>
  <c r="M14" i="11"/>
  <c r="H12" i="11"/>
  <c r="H11" i="11"/>
  <c r="H10" i="11"/>
  <c r="H9" i="11"/>
  <c r="H8" i="11"/>
  <c r="G8" i="11"/>
  <c r="J8" i="11"/>
  <c r="H7" i="11"/>
  <c r="M6" i="11"/>
  <c r="M8" i="11"/>
  <c r="H6" i="11"/>
  <c r="J6" i="11"/>
  <c r="AP6" i="5" s="1"/>
  <c r="H5" i="11"/>
  <c r="G5" i="11"/>
  <c r="J5" i="11"/>
  <c r="H4" i="11"/>
  <c r="G4" i="11"/>
  <c r="J4" i="11"/>
  <c r="H3" i="11"/>
  <c r="G3" i="11"/>
  <c r="J3" i="11"/>
  <c r="H2" i="11"/>
  <c r="G2" i="11"/>
  <c r="A2" i="11" a="1"/>
  <c r="A2" i="11"/>
  <c r="AQ3" i="5"/>
  <c r="AQ4" i="5"/>
  <c r="AQ5" i="5"/>
  <c r="AQ7" i="5"/>
  <c r="AQ8" i="5"/>
  <c r="AQ9" i="5"/>
  <c r="AQ10" i="5"/>
  <c r="AQ11" i="5"/>
  <c r="AQ2" i="5"/>
  <c r="L23" i="9"/>
  <c r="E19" i="9"/>
  <c r="H16" i="9"/>
  <c r="G16" i="9"/>
  <c r="J16" i="9"/>
  <c r="H15" i="9"/>
  <c r="G15" i="9"/>
  <c r="J15" i="9"/>
  <c r="H14" i="9"/>
  <c r="G14" i="9"/>
  <c r="J14" i="9"/>
  <c r="H13" i="9"/>
  <c r="G13" i="9"/>
  <c r="J13" i="9"/>
  <c r="M12" i="9"/>
  <c r="M14" i="9"/>
  <c r="H12" i="9"/>
  <c r="G12" i="9"/>
  <c r="J12" i="9"/>
  <c r="H11" i="9"/>
  <c r="H10" i="9"/>
  <c r="H9" i="9"/>
  <c r="H8" i="9"/>
  <c r="H7" i="9"/>
  <c r="M6" i="9"/>
  <c r="H6" i="9"/>
  <c r="J6" i="9"/>
  <c r="AQ6" i="5" s="1"/>
  <c r="H5" i="9"/>
  <c r="H4" i="9"/>
  <c r="H3" i="9"/>
  <c r="H2" i="9"/>
  <c r="A2" i="9" a="1"/>
  <c r="A2" i="9"/>
  <c r="AR3" i="5"/>
  <c r="AR4" i="5"/>
  <c r="AR5" i="5"/>
  <c r="AR7" i="5"/>
  <c r="AR8" i="5"/>
  <c r="AR9" i="5"/>
  <c r="AR10" i="5"/>
  <c r="AR11" i="5"/>
  <c r="AR2" i="5"/>
  <c r="M7" i="8"/>
  <c r="L23" i="8"/>
  <c r="E19" i="8"/>
  <c r="H16" i="8"/>
  <c r="G16" i="8"/>
  <c r="J16" i="8"/>
  <c r="H15" i="8"/>
  <c r="G15" i="8"/>
  <c r="J15" i="8"/>
  <c r="H14" i="8"/>
  <c r="G14" i="8"/>
  <c r="J14" i="8"/>
  <c r="H13" i="8"/>
  <c r="G13" i="8"/>
  <c r="J13" i="8"/>
  <c r="M12" i="8"/>
  <c r="M14" i="8"/>
  <c r="H12" i="8"/>
  <c r="H11" i="8"/>
  <c r="G11" i="8"/>
  <c r="J11" i="8"/>
  <c r="H10" i="8"/>
  <c r="H9" i="8"/>
  <c r="H8" i="8"/>
  <c r="H7" i="8"/>
  <c r="M6" i="8"/>
  <c r="M8" i="8"/>
  <c r="H6" i="8"/>
  <c r="J6" i="8"/>
  <c r="AR6" i="5" s="1"/>
  <c r="H5" i="8"/>
  <c r="G5" i="8"/>
  <c r="J5" i="8"/>
  <c r="H4" i="8"/>
  <c r="G4" i="8"/>
  <c r="J4" i="8"/>
  <c r="H3" i="8"/>
  <c r="G3" i="8"/>
  <c r="J3" i="8"/>
  <c r="H2" i="8"/>
  <c r="G2" i="8"/>
  <c r="A2" i="8" a="1"/>
  <c r="A2" i="8"/>
  <c r="AS3" i="5"/>
  <c r="AS4" i="5"/>
  <c r="AS5" i="5"/>
  <c r="AS7" i="5"/>
  <c r="AS8" i="5"/>
  <c r="AS9" i="5"/>
  <c r="AS10" i="5"/>
  <c r="AS11" i="5"/>
  <c r="AS2" i="5"/>
  <c r="L23" i="7"/>
  <c r="E19" i="7"/>
  <c r="H16" i="7"/>
  <c r="G16" i="7"/>
  <c r="J16" i="7"/>
  <c r="H15" i="7"/>
  <c r="G15" i="7"/>
  <c r="J15" i="7"/>
  <c r="H14" i="7"/>
  <c r="G14" i="7"/>
  <c r="J14" i="7"/>
  <c r="H13" i="7"/>
  <c r="G13" i="7"/>
  <c r="J13" i="7"/>
  <c r="M12" i="7"/>
  <c r="M14" i="7"/>
  <c r="H12" i="7"/>
  <c r="H11" i="7"/>
  <c r="H10" i="7"/>
  <c r="H9" i="7"/>
  <c r="H8" i="7"/>
  <c r="H7" i="7"/>
  <c r="M6" i="7"/>
  <c r="M8" i="7"/>
  <c r="G11" i="7"/>
  <c r="J11" i="7"/>
  <c r="H6" i="7"/>
  <c r="J6" i="7"/>
  <c r="AS6" i="5" s="1"/>
  <c r="H5" i="7"/>
  <c r="H4" i="7"/>
  <c r="H3" i="7"/>
  <c r="H2" i="7"/>
  <c r="A2" i="7" a="1"/>
  <c r="A2" i="7"/>
  <c r="AT3" i="5"/>
  <c r="AT4" i="5"/>
  <c r="AT5" i="5"/>
  <c r="AT6" i="5"/>
  <c r="AT7" i="5"/>
  <c r="AT8" i="5"/>
  <c r="AT9" i="5"/>
  <c r="AT10" i="5"/>
  <c r="AT11" i="5"/>
  <c r="AT2" i="5"/>
  <c r="AT17" i="5" s="1"/>
  <c r="Q3" i="6"/>
  <c r="Q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2" i="6"/>
  <c r="M7" i="6"/>
  <c r="L23" i="6"/>
  <c r="E19" i="6"/>
  <c r="H16" i="6"/>
  <c r="G16" i="6"/>
  <c r="H15" i="6"/>
  <c r="G15" i="6"/>
  <c r="H14" i="6"/>
  <c r="G14" i="6"/>
  <c r="H13" i="6"/>
  <c r="G13" i="6"/>
  <c r="M12" i="6"/>
  <c r="M14" i="6"/>
  <c r="H12" i="6"/>
  <c r="G12" i="6"/>
  <c r="H11" i="6"/>
  <c r="H10" i="6"/>
  <c r="H9" i="6"/>
  <c r="H8" i="6"/>
  <c r="H7" i="6"/>
  <c r="M6" i="6"/>
  <c r="H6" i="6"/>
  <c r="H5" i="6"/>
  <c r="H4" i="6"/>
  <c r="H3" i="6"/>
  <c r="H2" i="6"/>
  <c r="A2" i="6" a="1"/>
  <c r="A2" i="6"/>
  <c r="M7" i="4"/>
  <c r="A2" i="4" a="1"/>
  <c r="A2" i="4"/>
  <c r="E19" i="4"/>
  <c r="H16" i="4"/>
  <c r="H15" i="4"/>
  <c r="H14" i="4"/>
  <c r="G14" i="4"/>
  <c r="J14" i="4"/>
  <c r="H13" i="4"/>
  <c r="G13" i="4"/>
  <c r="J13" i="4"/>
  <c r="M12" i="4"/>
  <c r="H12" i="4"/>
  <c r="G12" i="4"/>
  <c r="J12" i="4"/>
  <c r="H11" i="4"/>
  <c r="H10" i="4"/>
  <c r="H9" i="4"/>
  <c r="H8" i="4"/>
  <c r="H7" i="4"/>
  <c r="M6" i="4"/>
  <c r="H6" i="4"/>
  <c r="H5" i="4"/>
  <c r="H4" i="4"/>
  <c r="H3" i="4"/>
  <c r="H2" i="4"/>
  <c r="G14" i="11"/>
  <c r="J14" i="11"/>
  <c r="J12" i="11"/>
  <c r="J2" i="11"/>
  <c r="G11" i="11"/>
  <c r="J11" i="11"/>
  <c r="G10" i="11"/>
  <c r="J10" i="11"/>
  <c r="G9" i="11"/>
  <c r="J9" i="11"/>
  <c r="G7" i="11"/>
  <c r="M8" i="9"/>
  <c r="B17" i="5"/>
  <c r="J2" i="8"/>
  <c r="G12" i="8"/>
  <c r="J12" i="8"/>
  <c r="G10" i="8"/>
  <c r="J10" i="8"/>
  <c r="G9" i="8"/>
  <c r="J9" i="8"/>
  <c r="G8" i="8"/>
  <c r="J8" i="8"/>
  <c r="G7" i="8"/>
  <c r="J12" i="7"/>
  <c r="G7" i="7"/>
  <c r="J7" i="7"/>
  <c r="M8" i="6"/>
  <c r="M14" i="4"/>
  <c r="L23" i="4"/>
  <c r="M8" i="4"/>
  <c r="J7" i="11"/>
  <c r="G18" i="11"/>
  <c r="J18" i="11"/>
  <c r="G11" i="9"/>
  <c r="J11" i="9"/>
  <c r="G10" i="9"/>
  <c r="J10" i="9"/>
  <c r="G9" i="9"/>
  <c r="J9" i="9"/>
  <c r="G8" i="9"/>
  <c r="J8" i="9"/>
  <c r="G7" i="9"/>
  <c r="J7" i="9"/>
  <c r="G5" i="9"/>
  <c r="J5" i="9"/>
  <c r="G4" i="9"/>
  <c r="J4" i="9"/>
  <c r="G3" i="9"/>
  <c r="J3" i="9"/>
  <c r="G2" i="9"/>
  <c r="J7" i="8"/>
  <c r="G18" i="8"/>
  <c r="J18" i="8"/>
  <c r="G10" i="7"/>
  <c r="J10" i="7"/>
  <c r="G9" i="7"/>
  <c r="J9" i="7"/>
  <c r="G8" i="7"/>
  <c r="J8" i="7"/>
  <c r="G5" i="7"/>
  <c r="J5" i="7"/>
  <c r="G4" i="7"/>
  <c r="J4" i="7"/>
  <c r="G3" i="7"/>
  <c r="J3" i="7"/>
  <c r="G2" i="7"/>
  <c r="G11" i="6"/>
  <c r="G10" i="6"/>
  <c r="G9" i="6"/>
  <c r="G8" i="6"/>
  <c r="G7" i="6"/>
  <c r="G6" i="6"/>
  <c r="G5" i="6"/>
  <c r="G4" i="6"/>
  <c r="G3" i="6"/>
  <c r="G2" i="6"/>
  <c r="G4" i="4"/>
  <c r="J4" i="4"/>
  <c r="AU4" i="5"/>
  <c r="G8" i="4"/>
  <c r="J8" i="4"/>
  <c r="AU8" i="5"/>
  <c r="G3" i="4"/>
  <c r="J3" i="4"/>
  <c r="AU3" i="5"/>
  <c r="G16" i="4"/>
  <c r="J16" i="4"/>
  <c r="G15" i="4"/>
  <c r="J15" i="4"/>
  <c r="G11" i="4"/>
  <c r="J11" i="4"/>
  <c r="AU11" i="5"/>
  <c r="G10" i="4"/>
  <c r="J10" i="4"/>
  <c r="AU10" i="5"/>
  <c r="G9" i="4"/>
  <c r="J9" i="4"/>
  <c r="AU9" i="5"/>
  <c r="G7" i="4"/>
  <c r="J7" i="4"/>
  <c r="AU7" i="5"/>
  <c r="G6" i="4"/>
  <c r="G5" i="4"/>
  <c r="J5" i="4"/>
  <c r="AU5" i="5"/>
  <c r="G2" i="4"/>
  <c r="G18" i="9"/>
  <c r="J2" i="9"/>
  <c r="J18" i="9"/>
  <c r="G18" i="7"/>
  <c r="J2" i="7"/>
  <c r="J18" i="7"/>
  <c r="G18" i="6"/>
  <c r="J18" i="6"/>
  <c r="J6" i="4"/>
  <c r="AU6" i="5"/>
  <c r="G18" i="4"/>
  <c r="J2" i="4"/>
  <c r="J18" i="4"/>
  <c r="AU2" i="5"/>
  <c r="AU17" i="5" s="1"/>
  <c r="G2" i="44" l="1"/>
  <c r="G3" i="44"/>
  <c r="J3" i="44" s="1"/>
  <c r="J3" i="5" s="1"/>
  <c r="G5" i="44"/>
  <c r="J5" i="44" s="1"/>
  <c r="J5" i="5" s="1"/>
  <c r="G8" i="44"/>
  <c r="J8" i="44" s="1"/>
  <c r="J8" i="5" s="1"/>
  <c r="M8" i="43"/>
  <c r="G8" i="43" s="1"/>
  <c r="J8" i="43" s="1"/>
  <c r="G2" i="42"/>
  <c r="G3" i="42"/>
  <c r="J3" i="42" s="1"/>
  <c r="G5" i="42"/>
  <c r="J5" i="42" s="1"/>
  <c r="M8" i="41"/>
  <c r="G3" i="41" s="1"/>
  <c r="J3" i="41" s="1"/>
  <c r="M3" i="5" s="1"/>
  <c r="G8" i="40"/>
  <c r="J8" i="40" s="1"/>
  <c r="G5" i="40"/>
  <c r="J5" i="40" s="1"/>
  <c r="G6" i="40"/>
  <c r="J6" i="40" s="1"/>
  <c r="G2" i="40"/>
  <c r="J2" i="40" s="1"/>
  <c r="J18" i="40"/>
  <c r="G18" i="40"/>
  <c r="M8" i="39"/>
  <c r="M8" i="38"/>
  <c r="M8" i="37"/>
  <c r="G8" i="37" s="1"/>
  <c r="J8" i="37" s="1"/>
  <c r="M8" i="36"/>
  <c r="G6" i="34"/>
  <c r="J6" i="34" s="1"/>
  <c r="G5" i="34"/>
  <c r="J5" i="34" s="1"/>
  <c r="G2" i="34"/>
  <c r="J2" i="34" s="1"/>
  <c r="G3" i="34"/>
  <c r="J3" i="34" s="1"/>
  <c r="G7" i="34"/>
  <c r="G8" i="34"/>
  <c r="J8" i="34" s="1"/>
  <c r="M8" i="33"/>
  <c r="X17" i="5"/>
  <c r="M8" i="32"/>
  <c r="G8" i="32" s="1"/>
  <c r="J8" i="32" s="1"/>
  <c r="U8" i="5" s="1"/>
  <c r="G2" i="31"/>
  <c r="G3" i="31"/>
  <c r="J3" i="31" s="1"/>
  <c r="G4" i="31"/>
  <c r="J4" i="31" s="1"/>
  <c r="G5" i="31"/>
  <c r="J5" i="31" s="1"/>
  <c r="G7" i="31"/>
  <c r="J7" i="31" s="1"/>
  <c r="J8" i="31"/>
  <c r="M8" i="30"/>
  <c r="G7" i="30" s="1"/>
  <c r="M8" i="28"/>
  <c r="G8" i="27"/>
  <c r="J8" i="27" s="1"/>
  <c r="G4" i="27"/>
  <c r="J4" i="27" s="1"/>
  <c r="G2" i="27"/>
  <c r="G3" i="27"/>
  <c r="J3" i="27" s="1"/>
  <c r="G5" i="27"/>
  <c r="J5" i="27" s="1"/>
  <c r="G7" i="27"/>
  <c r="J7" i="27" s="1"/>
  <c r="M8" i="26"/>
  <c r="G12" i="26" s="1"/>
  <c r="J12" i="26" s="1"/>
  <c r="M8" i="25"/>
  <c r="G8" i="25" s="1"/>
  <c r="J8" i="25" s="1"/>
  <c r="G2" i="24"/>
  <c r="G3" i="24"/>
  <c r="J3" i="24" s="1"/>
  <c r="G5" i="24"/>
  <c r="J5" i="24" s="1"/>
  <c r="G7" i="24"/>
  <c r="J7" i="24" s="1"/>
  <c r="M8" i="23"/>
  <c r="G3" i="23" s="1"/>
  <c r="J3" i="23" s="1"/>
  <c r="M8" i="22"/>
  <c r="G10" i="22" s="1"/>
  <c r="J10" i="22" s="1"/>
  <c r="M8" i="21"/>
  <c r="M8" i="20"/>
  <c r="M8" i="19"/>
  <c r="G7" i="18"/>
  <c r="J7" i="18" s="1"/>
  <c r="AI7" i="5" s="1"/>
  <c r="G4" i="18"/>
  <c r="J4" i="18" s="1"/>
  <c r="AI4" i="5" s="1"/>
  <c r="G2" i="18"/>
  <c r="G6" i="18"/>
  <c r="J6" i="18" s="1"/>
  <c r="AI6" i="5" s="1"/>
  <c r="G18" i="18"/>
  <c r="J2" i="18"/>
  <c r="J2" i="17"/>
  <c r="G11" i="17"/>
  <c r="J11" i="17" s="1"/>
  <c r="G10" i="17"/>
  <c r="J10" i="17" s="1"/>
  <c r="G9" i="17"/>
  <c r="J9" i="17" s="1"/>
  <c r="G8" i="17"/>
  <c r="J8" i="17" s="1"/>
  <c r="G7" i="17"/>
  <c r="M8" i="16"/>
  <c r="G10" i="16" s="1"/>
  <c r="J10" i="16" s="1"/>
  <c r="M8" i="15"/>
  <c r="AM6" i="5"/>
  <c r="J18" i="14"/>
  <c r="AS17" i="5"/>
  <c r="AR17" i="5"/>
  <c r="AQ17" i="5"/>
  <c r="AP17" i="5"/>
  <c r="AO17" i="5"/>
  <c r="J12" i="13"/>
  <c r="M8" i="13"/>
  <c r="G11" i="14"/>
  <c r="J11" i="14" s="1"/>
  <c r="AM11" i="5" s="1"/>
  <c r="G10" i="14"/>
  <c r="J10" i="14" s="1"/>
  <c r="AM10" i="5" s="1"/>
  <c r="J2" i="14"/>
  <c r="AM2" i="5" s="1"/>
  <c r="J12" i="14"/>
  <c r="G9" i="14"/>
  <c r="J9" i="14" s="1"/>
  <c r="AM9" i="5" s="1"/>
  <c r="G8" i="14"/>
  <c r="J8" i="14" s="1"/>
  <c r="AM8" i="5" s="1"/>
  <c r="G7" i="14"/>
  <c r="G11" i="13"/>
  <c r="J11" i="13" s="1"/>
  <c r="AN11" i="5" s="1"/>
  <c r="G10" i="13"/>
  <c r="J10" i="13" s="1"/>
  <c r="AN10" i="5" s="1"/>
  <c r="G9" i="13"/>
  <c r="J9" i="13" s="1"/>
  <c r="AN9" i="5" s="1"/>
  <c r="G8" i="13"/>
  <c r="J8" i="13" s="1"/>
  <c r="AN8" i="5" s="1"/>
  <c r="G7" i="13"/>
  <c r="J2" i="12"/>
  <c r="G12" i="12"/>
  <c r="J12" i="12" s="1"/>
  <c r="G11" i="12"/>
  <c r="J11" i="12" s="1"/>
  <c r="G10" i="12"/>
  <c r="J10" i="12" s="1"/>
  <c r="G9" i="12"/>
  <c r="J9" i="12" s="1"/>
  <c r="G7" i="12"/>
  <c r="G18" i="44" l="1"/>
  <c r="J2" i="44"/>
  <c r="G12" i="43"/>
  <c r="J12" i="43" s="1"/>
  <c r="G11" i="43"/>
  <c r="J11" i="43" s="1"/>
  <c r="G10" i="43"/>
  <c r="J10" i="43" s="1"/>
  <c r="G9" i="43"/>
  <c r="J9" i="43" s="1"/>
  <c r="G6" i="43"/>
  <c r="J6" i="43" s="1"/>
  <c r="G5" i="43"/>
  <c r="J5" i="43" s="1"/>
  <c r="G3" i="43"/>
  <c r="J3" i="43" s="1"/>
  <c r="G2" i="43"/>
  <c r="J2" i="42"/>
  <c r="J18" i="42" s="1"/>
  <c r="G18" i="42"/>
  <c r="G12" i="41"/>
  <c r="J12" i="41" s="1"/>
  <c r="M12" i="5" s="1"/>
  <c r="C12" i="5" s="1"/>
  <c r="D12" i="5" s="1"/>
  <c r="G10" i="41"/>
  <c r="J10" i="41" s="1"/>
  <c r="M10" i="5" s="1"/>
  <c r="G9" i="41"/>
  <c r="J9" i="41" s="1"/>
  <c r="M9" i="5" s="1"/>
  <c r="G8" i="41"/>
  <c r="J8" i="41" s="1"/>
  <c r="M8" i="5" s="1"/>
  <c r="G6" i="41"/>
  <c r="J6" i="41" s="1"/>
  <c r="M6" i="5" s="1"/>
  <c r="G5" i="41"/>
  <c r="J5" i="41" s="1"/>
  <c r="M5" i="5" s="1"/>
  <c r="G2" i="41"/>
  <c r="G10" i="39"/>
  <c r="J10" i="39" s="1"/>
  <c r="G9" i="39"/>
  <c r="J9" i="39" s="1"/>
  <c r="G8" i="39"/>
  <c r="J8" i="39" s="1"/>
  <c r="G7" i="39"/>
  <c r="J7" i="39" s="1"/>
  <c r="G6" i="39"/>
  <c r="J6" i="39" s="1"/>
  <c r="G5" i="39"/>
  <c r="J5" i="39" s="1"/>
  <c r="G3" i="39"/>
  <c r="J3" i="39" s="1"/>
  <c r="G2" i="39"/>
  <c r="G6" i="38"/>
  <c r="J6" i="38" s="1"/>
  <c r="G10" i="38"/>
  <c r="J10" i="38" s="1"/>
  <c r="G9" i="38"/>
  <c r="J9" i="38" s="1"/>
  <c r="G8" i="38"/>
  <c r="J8" i="38" s="1"/>
  <c r="G7" i="38"/>
  <c r="J7" i="38" s="1"/>
  <c r="G5" i="38"/>
  <c r="J5" i="38" s="1"/>
  <c r="G3" i="38"/>
  <c r="J3" i="38" s="1"/>
  <c r="G2" i="38"/>
  <c r="G12" i="37"/>
  <c r="J12" i="37" s="1"/>
  <c r="G10" i="37"/>
  <c r="J10" i="37" s="1"/>
  <c r="G9" i="37"/>
  <c r="J9" i="37" s="1"/>
  <c r="G7" i="37"/>
  <c r="J7" i="37" s="1"/>
  <c r="G5" i="37"/>
  <c r="J5" i="37" s="1"/>
  <c r="G3" i="37"/>
  <c r="J3" i="37" s="1"/>
  <c r="G2" i="37"/>
  <c r="G12" i="36"/>
  <c r="J12" i="36" s="1"/>
  <c r="G10" i="36"/>
  <c r="J10" i="36" s="1"/>
  <c r="G9" i="36"/>
  <c r="J9" i="36" s="1"/>
  <c r="G8" i="36"/>
  <c r="J8" i="36" s="1"/>
  <c r="G7" i="36"/>
  <c r="J7" i="36" s="1"/>
  <c r="G6" i="36"/>
  <c r="J6" i="36" s="1"/>
  <c r="G5" i="36"/>
  <c r="J5" i="36" s="1"/>
  <c r="G3" i="36"/>
  <c r="J3" i="36" s="1"/>
  <c r="G2" i="36"/>
  <c r="J7" i="34"/>
  <c r="J18" i="34" s="1"/>
  <c r="G18" i="34"/>
  <c r="G10" i="33"/>
  <c r="J10" i="33" s="1"/>
  <c r="T10" i="5" s="1"/>
  <c r="G9" i="33"/>
  <c r="J9" i="33" s="1"/>
  <c r="T9" i="5" s="1"/>
  <c r="G8" i="33"/>
  <c r="J8" i="33" s="1"/>
  <c r="T8" i="5" s="1"/>
  <c r="G7" i="33"/>
  <c r="J7" i="33" s="1"/>
  <c r="T7" i="5" s="1"/>
  <c r="G5" i="33"/>
  <c r="J5" i="33" s="1"/>
  <c r="T5" i="5" s="1"/>
  <c r="G4" i="33"/>
  <c r="J4" i="33" s="1"/>
  <c r="T4" i="5" s="1"/>
  <c r="G3" i="33"/>
  <c r="J3" i="33" s="1"/>
  <c r="T3" i="5" s="1"/>
  <c r="G2" i="33"/>
  <c r="C11" i="5"/>
  <c r="G10" i="32"/>
  <c r="J10" i="32" s="1"/>
  <c r="U10" i="5" s="1"/>
  <c r="G9" i="32"/>
  <c r="J9" i="32" s="1"/>
  <c r="U9" i="5" s="1"/>
  <c r="C9" i="5" s="1"/>
  <c r="G7" i="32"/>
  <c r="J7" i="32" s="1"/>
  <c r="U7" i="5" s="1"/>
  <c r="G6" i="32"/>
  <c r="J6" i="32" s="1"/>
  <c r="U6" i="5" s="1"/>
  <c r="D6" i="5" s="1"/>
  <c r="G5" i="32"/>
  <c r="J5" i="32" s="1"/>
  <c r="U5" i="5" s="1"/>
  <c r="G4" i="32"/>
  <c r="J4" i="32" s="1"/>
  <c r="U4" i="5" s="1"/>
  <c r="D4" i="5" s="1"/>
  <c r="G3" i="32"/>
  <c r="J3" i="32" s="1"/>
  <c r="U3" i="5" s="1"/>
  <c r="G2" i="32"/>
  <c r="G18" i="31"/>
  <c r="J2" i="31"/>
  <c r="J18" i="31" s="1"/>
  <c r="G11" i="30"/>
  <c r="J11" i="30" s="1"/>
  <c r="G10" i="30"/>
  <c r="J10" i="30" s="1"/>
  <c r="G12" i="30"/>
  <c r="J12" i="30" s="1"/>
  <c r="G9" i="30"/>
  <c r="J9" i="30" s="1"/>
  <c r="G8" i="30"/>
  <c r="J8" i="30" s="1"/>
  <c r="J7" i="30"/>
  <c r="G6" i="30"/>
  <c r="J6" i="30" s="1"/>
  <c r="G5" i="30"/>
  <c r="J5" i="30" s="1"/>
  <c r="G4" i="30"/>
  <c r="J4" i="30" s="1"/>
  <c r="G3" i="30"/>
  <c r="J3" i="30" s="1"/>
  <c r="G2" i="30"/>
  <c r="G12" i="28"/>
  <c r="J12" i="28" s="1"/>
  <c r="G11" i="28"/>
  <c r="J11" i="28" s="1"/>
  <c r="G9" i="28"/>
  <c r="J9" i="28" s="1"/>
  <c r="G8" i="28"/>
  <c r="J8" i="28" s="1"/>
  <c r="G7" i="28"/>
  <c r="J7" i="28" s="1"/>
  <c r="G5" i="28"/>
  <c r="J5" i="28" s="1"/>
  <c r="G4" i="28"/>
  <c r="J4" i="28" s="1"/>
  <c r="G3" i="28"/>
  <c r="J3" i="28" s="1"/>
  <c r="G2" i="28"/>
  <c r="J2" i="27"/>
  <c r="J18" i="27" s="1"/>
  <c r="G18" i="27"/>
  <c r="G3" i="26"/>
  <c r="J3" i="26" s="1"/>
  <c r="G6" i="26"/>
  <c r="J6" i="26" s="1"/>
  <c r="G11" i="26"/>
  <c r="J11" i="26" s="1"/>
  <c r="G9" i="26"/>
  <c r="J9" i="26" s="1"/>
  <c r="G8" i="26"/>
  <c r="J8" i="26" s="1"/>
  <c r="G7" i="26"/>
  <c r="J7" i="26" s="1"/>
  <c r="G5" i="26"/>
  <c r="J5" i="26" s="1"/>
  <c r="G4" i="26"/>
  <c r="J4" i="26" s="1"/>
  <c r="G2" i="26"/>
  <c r="G11" i="25"/>
  <c r="J11" i="25" s="1"/>
  <c r="G10" i="25"/>
  <c r="J10" i="25" s="1"/>
  <c r="G9" i="25"/>
  <c r="J9" i="25" s="1"/>
  <c r="G7" i="25"/>
  <c r="J7" i="25" s="1"/>
  <c r="G5" i="25"/>
  <c r="J5" i="25" s="1"/>
  <c r="G4" i="25"/>
  <c r="J4" i="25" s="1"/>
  <c r="G2" i="25"/>
  <c r="G18" i="24"/>
  <c r="J2" i="24"/>
  <c r="J18" i="24" s="1"/>
  <c r="G10" i="23"/>
  <c r="J10" i="23" s="1"/>
  <c r="G9" i="23"/>
  <c r="J9" i="23" s="1"/>
  <c r="G5" i="23"/>
  <c r="J5" i="23" s="1"/>
  <c r="G7" i="23"/>
  <c r="G2" i="23"/>
  <c r="J2" i="23" s="1"/>
  <c r="J7" i="23"/>
  <c r="G18" i="23"/>
  <c r="J18" i="23"/>
  <c r="G9" i="22"/>
  <c r="J9" i="22" s="1"/>
  <c r="G8" i="22"/>
  <c r="J8" i="22" s="1"/>
  <c r="G7" i="22"/>
  <c r="J7" i="22" s="1"/>
  <c r="G5" i="22"/>
  <c r="J5" i="22" s="1"/>
  <c r="G2" i="22"/>
  <c r="G11" i="21"/>
  <c r="J11" i="21" s="1"/>
  <c r="G10" i="21"/>
  <c r="J10" i="21" s="1"/>
  <c r="G9" i="21"/>
  <c r="J9" i="21" s="1"/>
  <c r="G8" i="21"/>
  <c r="J8" i="21" s="1"/>
  <c r="G7" i="21"/>
  <c r="J7" i="21" s="1"/>
  <c r="G5" i="21"/>
  <c r="J5" i="21" s="1"/>
  <c r="G4" i="21"/>
  <c r="J4" i="21" s="1"/>
  <c r="G3" i="21"/>
  <c r="J3" i="21" s="1"/>
  <c r="G2" i="21"/>
  <c r="G8" i="20"/>
  <c r="J8" i="20" s="1"/>
  <c r="G10" i="20"/>
  <c r="J10" i="20" s="1"/>
  <c r="G11" i="20"/>
  <c r="J11" i="20" s="1"/>
  <c r="G9" i="20"/>
  <c r="J9" i="20" s="1"/>
  <c r="G7" i="20"/>
  <c r="J7" i="20" s="1"/>
  <c r="G5" i="20"/>
  <c r="J5" i="20" s="1"/>
  <c r="G4" i="20"/>
  <c r="J4" i="20" s="1"/>
  <c r="G3" i="20"/>
  <c r="J3" i="20" s="1"/>
  <c r="G2" i="20"/>
  <c r="G11" i="19"/>
  <c r="J11" i="19" s="1"/>
  <c r="G3" i="19"/>
  <c r="J3" i="19" s="1"/>
  <c r="G10" i="19"/>
  <c r="J10" i="19" s="1"/>
  <c r="G9" i="19"/>
  <c r="J9" i="19" s="1"/>
  <c r="G7" i="19"/>
  <c r="J7" i="19" s="1"/>
  <c r="G6" i="19"/>
  <c r="J6" i="19" s="1"/>
  <c r="G5" i="19"/>
  <c r="J5" i="19" s="1"/>
  <c r="G4" i="19"/>
  <c r="J4" i="19" s="1"/>
  <c r="G2" i="19"/>
  <c r="J18" i="18"/>
  <c r="AI2" i="5"/>
  <c r="J7" i="17"/>
  <c r="G18" i="17"/>
  <c r="J18" i="17"/>
  <c r="G8" i="16"/>
  <c r="J8" i="16" s="1"/>
  <c r="G3" i="16"/>
  <c r="J3" i="16" s="1"/>
  <c r="G11" i="16"/>
  <c r="J11" i="16" s="1"/>
  <c r="G9" i="16"/>
  <c r="J9" i="16" s="1"/>
  <c r="G7" i="16"/>
  <c r="J7" i="16" s="1"/>
  <c r="G6" i="16"/>
  <c r="J6" i="16" s="1"/>
  <c r="G5" i="16"/>
  <c r="J5" i="16" s="1"/>
  <c r="G4" i="16"/>
  <c r="J4" i="16" s="1"/>
  <c r="G2" i="16"/>
  <c r="G11" i="15"/>
  <c r="J11" i="15" s="1"/>
  <c r="G10" i="15"/>
  <c r="J10" i="15" s="1"/>
  <c r="G9" i="15"/>
  <c r="J9" i="15" s="1"/>
  <c r="G7" i="15"/>
  <c r="J7" i="15" s="1"/>
  <c r="G6" i="15"/>
  <c r="J6" i="15" s="1"/>
  <c r="G5" i="15"/>
  <c r="J5" i="15" s="1"/>
  <c r="G4" i="15"/>
  <c r="J4" i="15" s="1"/>
  <c r="G3" i="15"/>
  <c r="J3" i="15" s="1"/>
  <c r="G2" i="15"/>
  <c r="G5" i="13"/>
  <c r="J5" i="13" s="1"/>
  <c r="AN5" i="5" s="1"/>
  <c r="G3" i="13"/>
  <c r="J3" i="13" s="1"/>
  <c r="AN3" i="5" s="1"/>
  <c r="C3" i="5" s="1"/>
  <c r="G2" i="13"/>
  <c r="J2" i="13" s="1"/>
  <c r="AN2" i="5"/>
  <c r="D8" i="5"/>
  <c r="D9" i="5"/>
  <c r="D10" i="5"/>
  <c r="D11" i="5"/>
  <c r="J7" i="14"/>
  <c r="AM7" i="5" s="1"/>
  <c r="G18" i="14"/>
  <c r="J7" i="13"/>
  <c r="G18" i="13"/>
  <c r="D3" i="5"/>
  <c r="J7" i="12"/>
  <c r="G18" i="12"/>
  <c r="J18" i="12"/>
  <c r="J18" i="44" l="1"/>
  <c r="J2" i="5"/>
  <c r="J17" i="5" s="1"/>
  <c r="G18" i="43"/>
  <c r="J2" i="43"/>
  <c r="J18" i="43" s="1"/>
  <c r="G18" i="41"/>
  <c r="J2" i="41"/>
  <c r="G18" i="39"/>
  <c r="J2" i="39"/>
  <c r="J18" i="39" s="1"/>
  <c r="G18" i="38"/>
  <c r="J2" i="38"/>
  <c r="J18" i="38" s="1"/>
  <c r="G18" i="37"/>
  <c r="J2" i="37"/>
  <c r="J18" i="37" s="1"/>
  <c r="G18" i="36"/>
  <c r="J2" i="36"/>
  <c r="J18" i="36" s="1"/>
  <c r="G18" i="33"/>
  <c r="J2" i="33"/>
  <c r="D5" i="5"/>
  <c r="AI17" i="5"/>
  <c r="G18" i="32"/>
  <c r="J2" i="32"/>
  <c r="G18" i="30"/>
  <c r="J2" i="30"/>
  <c r="J18" i="30" s="1"/>
  <c r="G18" i="28"/>
  <c r="J2" i="28"/>
  <c r="J18" i="28" s="1"/>
  <c r="G18" i="26"/>
  <c r="J2" i="26"/>
  <c r="J18" i="26" s="1"/>
  <c r="G18" i="25"/>
  <c r="J2" i="25"/>
  <c r="J18" i="25" s="1"/>
  <c r="G18" i="22"/>
  <c r="J2" i="22"/>
  <c r="J18" i="22" s="1"/>
  <c r="G18" i="21"/>
  <c r="J2" i="21"/>
  <c r="J18" i="21" s="1"/>
  <c r="G18" i="20"/>
  <c r="J2" i="20"/>
  <c r="J18" i="20" s="1"/>
  <c r="G18" i="19"/>
  <c r="J2" i="19"/>
  <c r="J18" i="19" s="1"/>
  <c r="G18" i="16"/>
  <c r="J2" i="16"/>
  <c r="J18" i="16" s="1"/>
  <c r="G18" i="15"/>
  <c r="J2" i="15"/>
  <c r="J18" i="15" s="1"/>
  <c r="AN7" i="5"/>
  <c r="C7" i="5" s="1"/>
  <c r="J18" i="13"/>
  <c r="AN17" i="5"/>
  <c r="AM17" i="5"/>
  <c r="J18" i="41" l="1"/>
  <c r="M2" i="5"/>
  <c r="M17" i="5" s="1"/>
  <c r="J18" i="33"/>
  <c r="T2" i="5"/>
  <c r="T17" i="5" s="1"/>
  <c r="J18" i="32"/>
  <c r="U2" i="5"/>
  <c r="D7" i="5"/>
  <c r="U17" i="5" l="1"/>
  <c r="D2" i="5" l="1"/>
  <c r="D17" i="5" s="1"/>
  <c r="C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Minh Trọng</author>
  </authors>
  <commentList>
    <comment ref="B5" authorId="0" shapeId="0" xr:uid="{84E1092B-CC3A-4485-BDCD-72AA01558986}">
      <text>
        <r>
          <rPr>
            <sz val="11"/>
            <color theme="1"/>
            <rFont val="Arial"/>
            <family val="2"/>
            <scheme val="minor"/>
          </rPr>
          <t>Phạm Minh Trọng:
21/04/2026: 500k
15/05/2026: 500k
08/06/2026: 500k
19/06/2026: 500k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<sst xmlns="http://schemas.openxmlformats.org/spreadsheetml/2006/main" count="1610" uniqueCount="244">
  <si>
    <t>Cá biển chiên sốt mắm tỏi</t>
  </si>
  <si>
    <t>8/10</t>
  </si>
  <si>
    <t xml:space="preserve">Gà </t>
  </si>
  <si>
    <t>Mực sữa rim mặn</t>
  </si>
  <si>
    <t>3/10</t>
  </si>
  <si>
    <t>dở</t>
  </si>
  <si>
    <t>Com trứng chiên</t>
  </si>
  <si>
    <t>10000/10</t>
  </si>
  <si>
    <t>quá đỉnh</t>
  </si>
  <si>
    <t>Bò kho</t>
  </si>
  <si>
    <t>6/10</t>
  </si>
  <si>
    <t>ít bò quá lâu lâu dai dai</t>
  </si>
  <si>
    <t>Tên</t>
  </si>
  <si>
    <t>Nạp vào</t>
  </si>
  <si>
    <t>Sử dụng</t>
  </si>
  <si>
    <t>Còn lại</t>
  </si>
  <si>
    <t>Hiếu</t>
  </si>
  <si>
    <t>Trọng</t>
  </si>
  <si>
    <t>Kiêm</t>
  </si>
  <si>
    <t>Anh Dũng</t>
  </si>
  <si>
    <t>Hoàng Anh</t>
  </si>
  <si>
    <t>Lê Thành Công</t>
  </si>
  <si>
    <t>Tùng</t>
  </si>
  <si>
    <t>Sỹ</t>
  </si>
  <si>
    <t>Việt</t>
  </si>
  <si>
    <t>Vinh</t>
  </si>
  <si>
    <t>Hòa</t>
  </si>
  <si>
    <t>.</t>
  </si>
  <si>
    <t>STT</t>
  </si>
  <si>
    <t>Tên món</t>
  </si>
  <si>
    <t>Tên món chay</t>
  </si>
  <si>
    <t>Note</t>
  </si>
  <si>
    <t>Link menu</t>
  </si>
  <si>
    <t>LINK MENU CHAY</t>
  </si>
  <si>
    <t>Món thêm</t>
  </si>
  <si>
    <t>Tổng</t>
  </si>
  <si>
    <t>Tổng hợp</t>
  </si>
  <si>
    <t>Số người ăn</t>
  </si>
  <si>
    <t>Tổng tiền</t>
  </si>
  <si>
    <t>Mỗi người</t>
  </si>
  <si>
    <t>Tổng hợp chay</t>
  </si>
  <si>
    <t xml:space="preserve">Hòa </t>
  </si>
  <si>
    <t>Hieuthuhai</t>
  </si>
  <si>
    <t>Đã đặt</t>
  </si>
  <si>
    <t xml:space="preserve"> </t>
  </si>
  <si>
    <t>Menu</t>
  </si>
  <si>
    <t>thịt luộc</t>
  </si>
  <si>
    <t>đùi gà chiên nước mắm</t>
  </si>
  <si>
    <t xml:space="preserve">cá </t>
  </si>
  <si>
    <t>cơm gà phile</t>
  </si>
  <si>
    <t xml:space="preserve">gà phile </t>
  </si>
  <si>
    <t>Thịt xào măng cay</t>
  </si>
  <si>
    <t>rau thêm, mua chứ hok xin pls/ ai bán mà m mua?</t>
  </si>
  <si>
    <t>thịt xào măng</t>
  </si>
  <si>
    <t>êc</t>
  </si>
  <si>
    <t>ếch xào xả ớt</t>
  </si>
  <si>
    <t>cơm thịt xào đậu cove + nấm</t>
  </si>
  <si>
    <t>cá</t>
  </si>
  <si>
    <t>đùi gà chiên nước múm</t>
  </si>
  <si>
    <t>rau thêm &lt;3</t>
  </si>
  <si>
    <t>gà Free lê</t>
  </si>
  <si>
    <t>cơm thịt kho tôm</t>
  </si>
  <si>
    <t>ĐÃ ĐẶT</t>
  </si>
  <si>
    <t>Cơm thị nướng</t>
  </si>
  <si>
    <t>gà phile</t>
  </si>
  <si>
    <t>Thịt kho trứng</t>
  </si>
  <si>
    <t>Cơm thêm</t>
  </si>
  <si>
    <t>Cơm thịt nướng</t>
  </si>
  <si>
    <t>rau thêm</t>
  </si>
  <si>
    <t>Cơm thịt xào măng cay</t>
  </si>
  <si>
    <t>gà phi lê</t>
  </si>
  <si>
    <t>Cá</t>
  </si>
  <si>
    <t>cơm thịt xào măng cay</t>
  </si>
  <si>
    <t>Éch xào xả ớt</t>
  </si>
  <si>
    <t>Gà chiên nước mấm</t>
  </si>
  <si>
    <t>Thịt luộc</t>
  </si>
  <si>
    <t>Lươn again</t>
  </si>
  <si>
    <t>cơm gà phi lê</t>
  </si>
  <si>
    <t>Lươn kho sả ớt</t>
  </si>
  <si>
    <t>Cóm gà chiên nước mắm</t>
  </si>
  <si>
    <t>thịt kho đậu</t>
  </si>
  <si>
    <t>cơm trứng chiên</t>
  </si>
  <si>
    <t>gà fillet</t>
  </si>
  <si>
    <t>trứng chiên</t>
  </si>
  <si>
    <t>mực sữa xào hành</t>
  </si>
  <si>
    <t>Cơm gà chiên nước múm</t>
  </si>
  <si>
    <t>Gà phi lê</t>
  </si>
  <si>
    <t>Cá ngừ kho tiêu</t>
  </si>
  <si>
    <t>Cơm trứng chiên</t>
  </si>
  <si>
    <t>đậu nhồi thụt</t>
  </si>
  <si>
    <t xml:space="preserve">đậu đũa xào thịt </t>
  </si>
  <si>
    <t>cơm thịt luộc cà pháo mắm tôm</t>
  </si>
  <si>
    <t xml:space="preserve">Cơm thịt nướng </t>
  </si>
  <si>
    <t>Cơm thêm + Trà tắc</t>
  </si>
  <si>
    <t>Cơm sụn xào chua ngọt</t>
  </si>
  <si>
    <t>Cơm gà phi lê</t>
  </si>
  <si>
    <t>Cơm gà fillet</t>
  </si>
  <si>
    <t>trà tắc</t>
  </si>
  <si>
    <t>Cơm bò kho</t>
  </si>
  <si>
    <t>cum đùi gà</t>
  </si>
  <si>
    <t xml:space="preserve">cơm gà phi lê </t>
  </si>
  <si>
    <t>xíu mại trứng cút</t>
  </si>
  <si>
    <t>Xíu mại trứng cút</t>
  </si>
  <si>
    <t>cơm gà chiên nước mắm</t>
  </si>
  <si>
    <t xml:space="preserve">cơm canh xương hầm củ </t>
  </si>
  <si>
    <t>thịt kho trứng</t>
  </si>
  <si>
    <t>Bún thị nướng</t>
  </si>
  <si>
    <t xml:space="preserve">Thịt nạc </t>
  </si>
  <si>
    <t xml:space="preserve">thịt luộc cà </t>
  </si>
  <si>
    <t>Thịt luộc cà pháo</t>
  </si>
  <si>
    <t>Mắm nêm không muốn làm căn phòng này bốc mùi bằng mắm tôm đâu !</t>
  </si>
  <si>
    <t>Cơm đậu hủ dồn thịt</t>
  </si>
  <si>
    <t>Cơm thịt luộc cà pháo</t>
  </si>
  <si>
    <t>cơm thịt xào mướp</t>
  </si>
  <si>
    <t>Cơm xíu mại</t>
  </si>
  <si>
    <t xml:space="preserve">Con cá </t>
  </si>
  <si>
    <t>cơm gà fillet</t>
  </si>
  <si>
    <t>tôm</t>
  </si>
  <si>
    <t>Lấy thịt nạc</t>
  </si>
  <si>
    <t>Gà kho sả</t>
  </si>
  <si>
    <t>Bọc cơm thêm pls, kêu ngta cho cái thìa nữa</t>
  </si>
  <si>
    <t>CHƯƠNG TRÌNH ĐẶT CƠM NGÀY HỘI THIẾU NHI BÉ KHỎE BÉ NGOAN</t>
  </si>
  <si>
    <t xml:space="preserve">bún mắm nêm </t>
  </si>
  <si>
    <t>Cơm gà phi lle</t>
  </si>
  <si>
    <t>Cơm thêm + trà tắc</t>
  </si>
  <si>
    <t>bún thịt nướng</t>
  </si>
  <si>
    <t>Hiếu thứ 2</t>
  </si>
  <si>
    <t>cơm</t>
  </si>
  <si>
    <t xml:space="preserve">Cơm thêm </t>
  </si>
  <si>
    <t xml:space="preserve">bún thịt nứng </t>
  </si>
  <si>
    <t>Ếch xào xả ớt</t>
  </si>
  <si>
    <t>1 hộp cơm không có đồ ăn</t>
  </si>
  <si>
    <t>Thịt kho đậu hủ</t>
  </si>
  <si>
    <t>Cơm thịt kho cải chua</t>
  </si>
  <si>
    <t>ĐÃ ĐẶTK</t>
  </si>
  <si>
    <t xml:space="preserve">cơm xương giò kho giả cầy </t>
  </si>
  <si>
    <t>Cơm thịt khi trưng</t>
  </si>
  <si>
    <t>chỉ lấy trứng :V</t>
  </si>
  <si>
    <t xml:space="preserve">cơm cá hú kho </t>
  </si>
  <si>
    <t>cà pháo</t>
  </si>
  <si>
    <t>Cơn xíu mại</t>
  </si>
  <si>
    <t>Cá biển</t>
  </si>
  <si>
    <t>thịt xào măng cay</t>
  </si>
  <si>
    <t>Bún thịt nướng</t>
  </si>
  <si>
    <t>Cơm thịt kho đậu hủ</t>
  </si>
  <si>
    <t>cơm canh khổ qua</t>
  </si>
  <si>
    <r>
      <rPr>
        <sz val="11"/>
        <color rgb="FF000000"/>
        <rFont val="Aptos Narrow"/>
        <scheme val="minor"/>
      </rPr>
      <t xml:space="preserve">Cơm thêm + </t>
    </r>
    <r>
      <rPr>
        <b/>
        <sz val="11"/>
        <color rgb="FF000000"/>
        <rFont val="Aptos Narrow"/>
        <scheme val="minor"/>
      </rPr>
      <t>trà tắc</t>
    </r>
  </si>
  <si>
    <t>cas</t>
  </si>
  <si>
    <t>Cơm cá biển chiên sốt mắm</t>
  </si>
  <si>
    <t>Lươn kho xả ớt</t>
  </si>
  <si>
    <t>LINK MENU</t>
  </si>
  <si>
    <t>thịt luộc mắm nêm</t>
  </si>
  <si>
    <t>phílee</t>
  </si>
  <si>
    <t>Gà kho xả</t>
  </si>
  <si>
    <t>cơm canh chua cá</t>
  </si>
  <si>
    <t>Cơm mực rim nước mắm</t>
  </si>
  <si>
    <t>bò kho củ cải đỏ</t>
  </si>
  <si>
    <t>Mực sim rim mắm</t>
  </si>
  <si>
    <t>cơm canh gà lá giang</t>
  </si>
  <si>
    <t>cơm thịt kho trứng</t>
  </si>
  <si>
    <t>Cơm gà phi lê xào chua ngọt</t>
  </si>
  <si>
    <t>Ốc bưu xào xả ớt</t>
  </si>
  <si>
    <t>cơm thịt nướng</t>
  </si>
  <si>
    <t>Cơm thịt kho trứng</t>
  </si>
  <si>
    <t>Cơm thịt kho tôm</t>
  </si>
  <si>
    <t>Gà phi lê chiên sốt mắm</t>
  </si>
  <si>
    <t xml:space="preserve">Gà phi lê mắn tỏi </t>
  </si>
  <si>
    <t>Cơm đậu hủ nhồi thịt</t>
  </si>
  <si>
    <t>Trà tắcccccccc</t>
  </si>
  <si>
    <t>Cơm canh gà lá giang</t>
  </si>
  <si>
    <t>Cơm gà phi lê chiên sốt mắm</t>
  </si>
  <si>
    <t xml:space="preserve">Cơm bò kho </t>
  </si>
  <si>
    <t xml:space="preserve">Cơm xíu mai </t>
  </si>
  <si>
    <t>Cơm đuồi gà chiên + nước cammmmm</t>
  </si>
  <si>
    <t>nước cam</t>
  </si>
  <si>
    <t>Cơm gờ phê li chiên sắm mốt (gà phi lê sốt mắm)</t>
  </si>
  <si>
    <t>Cơm đùi gà chiên mắm</t>
  </si>
  <si>
    <t>cam vắt</t>
  </si>
  <si>
    <t>Gà phi lê xào chua ngọt</t>
  </si>
  <si>
    <t>Cơm thịt kho chả cá</t>
  </si>
  <si>
    <t>chỉ lấy chả cá</t>
  </si>
  <si>
    <t>bún thịt nứng</t>
  </si>
  <si>
    <t>cơm thêm</t>
  </si>
  <si>
    <t>Cơm đùi gà chiên nước mắm</t>
  </si>
  <si>
    <t>Cơm thị kho đậu hủ</t>
  </si>
  <si>
    <t xml:space="preserve">gà </t>
  </si>
  <si>
    <t>gà phi lê xào chua ngọt</t>
  </si>
  <si>
    <t>Trà Tắc</t>
  </si>
  <si>
    <t>Cá hú</t>
  </si>
  <si>
    <t>Cơm thịt kho chả cá trứng cút</t>
  </si>
  <si>
    <t>Chỉ lấy chả cá với trứng cút</t>
  </si>
  <si>
    <t>Co bò khơm aka Cơm bò kho</t>
  </si>
  <si>
    <t>bún mắm nêm</t>
  </si>
  <si>
    <t>gà kho sả</t>
  </si>
  <si>
    <t>Cơm phá lấu tai heo</t>
  </si>
  <si>
    <t>Trà tắc</t>
  </si>
  <si>
    <t>cá hú kho tiêu</t>
  </si>
  <si>
    <t>đùi gà chiên mắm</t>
  </si>
  <si>
    <t>Bún thịt nướng + Trà tắc</t>
  </si>
  <si>
    <t>Lấy thịt nạt (Không ăn dc mỡ)</t>
  </si>
  <si>
    <t>nhiều bún</t>
  </si>
  <si>
    <t>Canh chua cá hus</t>
  </si>
  <si>
    <t>đậu ve xào thịt</t>
  </si>
  <si>
    <t>Cá ngừ kho</t>
  </si>
  <si>
    <t>Đậu hủ nhồi thịt</t>
  </si>
  <si>
    <t>cơm đậu rồng xào thịt</t>
  </si>
  <si>
    <t>Thịt viên xíu mại</t>
  </si>
  <si>
    <t xml:space="preserve">Cá </t>
  </si>
  <si>
    <t>Cơm chả cá kho thịt</t>
  </si>
  <si>
    <t>Đậu hủ chay trường kho thịt kèm hột vịt siêu to khổng lồ</t>
  </si>
  <si>
    <t>Chả cá kho thịt</t>
  </si>
  <si>
    <t>Cơm gà sốt mắm</t>
  </si>
  <si>
    <t>Thịt chiên mắm</t>
  </si>
  <si>
    <t>Gà phi lê sốt mắm tỏi</t>
  </si>
  <si>
    <t>Com trung chien</t>
  </si>
  <si>
    <t>Gà chiên mắm</t>
  </si>
  <si>
    <t>Cơm thịt xào dưa</t>
  </si>
  <si>
    <t>Gà phi lê mắn tỏi</t>
  </si>
  <si>
    <t>Cá ngừ</t>
  </si>
  <si>
    <t>Cơm trưng chiên</t>
  </si>
  <si>
    <t>Thịt kho ruốc</t>
  </si>
  <si>
    <t>Ca hú kho tiu</t>
  </si>
  <si>
    <t>Đậu hủ kho thịt</t>
  </si>
  <si>
    <t>Măng xào cay</t>
  </si>
  <si>
    <t>Cơm gà chiên sốt mắm</t>
  </si>
  <si>
    <t>Cơm thịt viên xíu mại</t>
  </si>
  <si>
    <t>Com thêm</t>
  </si>
  <si>
    <t>Mực sữa xào hành tây</t>
  </si>
  <si>
    <t>Đậu hủ dồn thịt</t>
  </si>
  <si>
    <t>Thịt xào bông cải</t>
  </si>
  <si>
    <t xml:space="preserve">Cá Hú </t>
  </si>
  <si>
    <t>Gà phi lê sốt mắn tỏi + Cơm thịt kho trứng</t>
  </si>
  <si>
    <t>Cơm thêm 2</t>
  </si>
  <si>
    <t>Ga phi le</t>
  </si>
  <si>
    <t>Cơm Trứng Chiên</t>
  </si>
  <si>
    <t>Thêm trứng</t>
  </si>
  <si>
    <t>Đứa nào ăn gà phi lê là sai lầm tuổi trẻ đừng trách sao nước biển lại mặn</t>
  </si>
  <si>
    <t xml:space="preserve">Ga phi le ngon nha mn. Nên ăn thử một lần đánh giá mới hôm qua an </t>
  </si>
  <si>
    <t>Đậu rồng xào thịt</t>
  </si>
  <si>
    <t xml:space="preserve">thêm trứng chiên + nợ </t>
  </si>
  <si>
    <t>Cơm đậu hủ kho thịt</t>
  </si>
  <si>
    <t>lấy thịt nạt</t>
  </si>
  <si>
    <t xml:space="preserve">anh Tùng t ăn ức gà kh đủ nên cho đặt chung nhé, cho HA ăn ké ức gà với </t>
  </si>
  <si>
    <t>Cơm thịt kho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</si>
</sst>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1">
    <font>
      <sz val="11"/>
      <color theme="1"/>
      <name val="Arial"/>
      <family val="2"/>
      <scheme val="minor"/>
    </font>
    <font>
      <sz val="11"/>
      <color theme="1"/>
      <name val="Calibri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48"/>
      <color theme="1"/>
      <name val="Arial"/>
      <family val="2"/>
      <scheme val="minor"/>
    </font>
    <font>
      <sz val="11"/>
      <color rgb="FF000000"/>
      <name val="Arial"/>
    </font>
    <font>
      <sz val="11"/>
      <color rgb="FFFF0000"/>
      <name val="Arial"/>
      <family val="2"/>
      <scheme val="minor"/>
    </font>
    <font>
      <sz val="11"/>
      <color rgb="FF242424"/>
      <name val="Aptos Narrow"/>
      <charset val="1"/>
    </font>
    <font>
      <sz val="11"/>
      <color rgb="FFC00000"/>
      <name val="Aptos Narrow"/>
    </font>
    <font>
      <sz val="11"/>
      <color rgb="FF000000"/>
      <name val="Arial"/>
      <charset val="1"/>
    </font>
    <font>
      <b/>
      <sz val="11"/>
      <color theme="1"/>
      <name val="Arial"/>
      <family val="2"/>
      <scheme val="minor"/>
    </font>
    <font>
      <b/>
      <sz val="24"/>
      <color rgb="FFFF0000"/>
      <name val="Arial"/>
      <family val="2"/>
      <scheme val="minor"/>
    </font>
    <font>
      <b/>
      <u/>
      <sz val="11"/>
      <color theme="10"/>
      <name val="Arial"/>
      <family val="2"/>
      <scheme val="minor"/>
    </font>
    <font>
      <sz val="11"/>
      <color rgb="FF000000"/>
      <name val="Aptos Narrow"/>
      <charset val="1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theme="10"/>
      <name val="Arial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n">
        <color rgb="FF000000"/>
      </right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theme="0"/>
      </top>
      <bottom style="thick">
        <color theme="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 style="thick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5" borderId="0" applyNumberFormat="0" applyBorder="0" applyAlignment="0" applyProtection="0"/>
  </cellStyleXfs>
  <cellXfs count="72">
    <xf numFmtId="0" fontId="0" fillId="0" borderId="0" xfId="0"/>
    <xf numFmtId="0" fontId="4" fillId="0" borderId="1" xfId="0" applyFont="1" applyBorder="1" applyAlignment="1">
      <alignment horizontal="center"/>
    </xf>
    <xf numFmtId="0" fontId="3" fillId="0" borderId="2" xfId="0" applyFont="1" applyBorder="1"/>
    <xf numFmtId="0" fontId="4" fillId="0" borderId="3" xfId="0" applyFont="1" applyBorder="1"/>
    <xf numFmtId="0" fontId="0" fillId="0" borderId="3" xfId="0" applyBorder="1"/>
    <xf numFmtId="0" fontId="0" fillId="0" borderId="4" xfId="0" applyBorder="1"/>
    <xf numFmtId="0" fontId="5" fillId="0" borderId="0" xfId="0" applyFont="1"/>
    <xf numFmtId="0" fontId="3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" fillId="0" borderId="5" xfId="0" applyFont="1" applyBorder="1"/>
    <xf numFmtId="0" fontId="6" fillId="0" borderId="5" xfId="0" applyFont="1" applyBorder="1"/>
    <xf numFmtId="0" fontId="6" fillId="0" borderId="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" xfId="0" applyFont="1" applyBorder="1" applyAlignment="1">
      <alignment wrapText="1"/>
    </xf>
    <xf numFmtId="0" fontId="4" fillId="0" borderId="5" xfId="0" applyFont="1" applyBorder="1"/>
    <xf numFmtId="0" fontId="4" fillId="2" borderId="5" xfId="0" applyFont="1" applyFill="1" applyBorder="1"/>
    <xf numFmtId="0" fontId="7" fillId="0" borderId="3" xfId="0" applyFont="1" applyBorder="1"/>
    <xf numFmtId="0" fontId="3" fillId="0" borderId="6" xfId="0" applyFont="1" applyBorder="1"/>
    <xf numFmtId="0" fontId="4" fillId="0" borderId="7" xfId="0" applyFont="1" applyBorder="1"/>
    <xf numFmtId="0" fontId="7" fillId="0" borderId="7" xfId="0" applyFont="1" applyBorder="1"/>
    <xf numFmtId="0" fontId="0" fillId="0" borderId="7" xfId="0" applyBorder="1"/>
    <xf numFmtId="0" fontId="3" fillId="0" borderId="0" xfId="0" applyFont="1"/>
    <xf numFmtId="0" fontId="0" fillId="0" borderId="9" xfId="0" applyBorder="1"/>
    <xf numFmtId="0" fontId="4" fillId="0" borderId="5" xfId="0" applyFont="1" applyBorder="1" applyAlignment="1">
      <alignment horizontal="left" wrapText="1"/>
    </xf>
    <xf numFmtId="0" fontId="0" fillId="0" borderId="5" xfId="0" applyBorder="1"/>
    <xf numFmtId="0" fontId="4" fillId="0" borderId="10" xfId="0" applyFont="1" applyBorder="1"/>
    <xf numFmtId="0" fontId="8" fillId="0" borderId="0" xfId="0" applyFont="1"/>
    <xf numFmtId="0" fontId="4" fillId="0" borderId="8" xfId="0" applyFont="1" applyBorder="1"/>
    <xf numFmtId="0" fontId="0" fillId="0" borderId="9" xfId="0" applyBorder="1" applyAlignment="1">
      <alignment horizontal="right"/>
    </xf>
    <xf numFmtId="0" fontId="3" fillId="0" borderId="11" xfId="0" applyFont="1" applyBorder="1"/>
    <xf numFmtId="0" fontId="4" fillId="0" borderId="12" xfId="0" applyFont="1" applyBorder="1"/>
    <xf numFmtId="0" fontId="7" fillId="0" borderId="12" xfId="0" applyFont="1" applyBorder="1"/>
    <xf numFmtId="0" fontId="0" fillId="0" borderId="12" xfId="0" applyBorder="1"/>
    <xf numFmtId="0" fontId="9" fillId="0" borderId="5" xfId="0" applyFont="1" applyBorder="1"/>
    <xf numFmtId="0" fontId="10" fillId="0" borderId="5" xfId="0" applyFont="1" applyBorder="1" applyAlignment="1">
      <alignment wrapText="1"/>
    </xf>
    <xf numFmtId="0" fontId="11" fillId="0" borderId="4" xfId="0" applyFont="1" applyBorder="1"/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14" xfId="0" applyFont="1" applyBorder="1"/>
    <xf numFmtId="0" fontId="4" fillId="0" borderId="1" xfId="0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4" fillId="0" borderId="0" xfId="0" applyFont="1"/>
    <xf numFmtId="0" fontId="15" fillId="0" borderId="5" xfId="0" applyFont="1" applyBorder="1"/>
    <xf numFmtId="0" fontId="16" fillId="0" borderId="5" xfId="0" applyFont="1" applyBorder="1" applyAlignment="1">
      <alignment horizontal="left"/>
    </xf>
    <xf numFmtId="0" fontId="16" fillId="0" borderId="5" xfId="0" applyFont="1" applyBorder="1" applyAlignment="1">
      <alignment horizontal="left" wrapText="1"/>
    </xf>
    <xf numFmtId="0" fontId="16" fillId="0" borderId="5" xfId="0" applyFont="1" applyBorder="1"/>
    <xf numFmtId="0" fontId="15" fillId="0" borderId="15" xfId="0" applyFont="1" applyBorder="1"/>
    <xf numFmtId="0" fontId="7" fillId="4" borderId="0" xfId="0" applyFont="1" applyFill="1" applyAlignment="1">
      <alignment wrapText="1"/>
    </xf>
    <xf numFmtId="0" fontId="4" fillId="0" borderId="0" xfId="0" applyFont="1" applyAlignment="1">
      <alignment vertical="center" wrapText="1"/>
    </xf>
    <xf numFmtId="49" fontId="0" fillId="0" borderId="0" xfId="0" applyNumberFormat="1"/>
    <xf numFmtId="14" fontId="0" fillId="0" borderId="0" xfId="0" applyNumberFormat="1"/>
    <xf numFmtId="0" fontId="1" fillId="6" borderId="0" xfId="2" applyFill="1"/>
    <xf numFmtId="0" fontId="15" fillId="7" borderId="5" xfId="0" applyFont="1" applyFill="1" applyBorder="1"/>
    <xf numFmtId="0" fontId="15" fillId="7" borderId="15" xfId="0" applyFont="1" applyFill="1" applyBorder="1"/>
    <xf numFmtId="0" fontId="0" fillId="7" borderId="0" xfId="0" applyFill="1"/>
    <xf numFmtId="164" fontId="11" fillId="7" borderId="0" xfId="0" quotePrefix="1" applyNumberFormat="1" applyFont="1" applyFill="1"/>
    <xf numFmtId="0" fontId="2" fillId="0" borderId="1" xfId="1" applyBorder="1" applyAlignment="1">
      <alignment horizontal="center" vertical="center"/>
    </xf>
    <xf numFmtId="0" fontId="2" fillId="0" borderId="0" xfId="1"/>
    <xf numFmtId="0" fontId="17" fillId="0" borderId="0" xfId="1" applyFont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1" fillId="9" borderId="0" xfId="2" applyFill="1"/>
    <xf numFmtId="0" fontId="0" fillId="0" borderId="0" xfId="0" quotePrefix="1"/>
    <xf numFmtId="16" fontId="0" fillId="0" borderId="0" xfId="0" quotePrefix="1" applyNumberFormat="1"/>
    <xf numFmtId="0" fontId="18" fillId="0" borderId="5" xfId="0" applyFont="1" applyBorder="1"/>
    <xf numFmtId="0" fontId="20" fillId="0" borderId="5" xfId="0" applyFont="1" applyBorder="1"/>
    <xf numFmtId="0" fontId="7" fillId="0" borderId="0" xfId="0" applyFont="1" applyAlignment="1">
      <alignment wrapText="1"/>
    </xf>
    <xf numFmtId="164" fontId="11" fillId="7" borderId="0" xfId="0" applyNumberFormat="1" applyFont="1" applyFill="1"/>
    <xf numFmtId="0" fontId="4" fillId="0" borderId="8" xfId="0" applyFont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</cellXfs>
  <cellStyles count="3">
    <cellStyle name="40% - Accent1" xfId="2" builtinId="31"/>
    <cellStyle name="Bình thường" xfId="0" builtinId="0"/>
    <cellStyle name="Hyperlink" xfId="1" xr:uid="{00000000-000B-0000-0000-000008000000}"/>
  </cellStyles>
  <dxfs count="117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22/11/relationships/FeaturePropertyBag" Target="featurePropertyBag/featurePropertyBag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0</xdr:row>
      <xdr:rowOff>47625</xdr:rowOff>
    </xdr:from>
    <xdr:to>
      <xdr:col>9</xdr:col>
      <xdr:colOff>28575</xdr:colOff>
      <xdr:row>14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D99DE1-F904-B4AB-2118-33A1CDC82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0" y="47625"/>
          <a:ext cx="3448050" cy="284797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76wh1c5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76wh1c5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o65oekb2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eqgyxfub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eqgyxfub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eqgyxfub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eqgyxfub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eqgyxfub" TargetMode="Externa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eqgyxfub" TargetMode="Externa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eqgyxfub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hyperlink" Target="https://begroup.onelink.me/ZOqn/yuq0lzis" TargetMode="External"/><Relationship Id="rId1" Type="http://schemas.openxmlformats.org/officeDocument/2006/relationships/hyperlink" Target="https://begroup.onelink.me/ZOqn/eqgyxf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36D5-80D1-4395-AE67-454842A59175}">
  <dimension ref="A2:C6"/>
  <sheetViews>
    <sheetView workbookViewId="0">
      <selection activeCell="A4" sqref="A4"/>
    </sheetView>
  </sheetViews>
  <sheetFormatPr defaultRowHeight="13.5"/>
  <cols>
    <col min="1" max="1" width="28.5" customWidth="1"/>
  </cols>
  <sheetData>
    <row r="2" spans="1:3">
      <c r="A2" t="s">
        <v>0</v>
      </c>
      <c r="B2" s="48" t="s">
        <v>1</v>
      </c>
    </row>
    <row r="3" spans="1:3">
      <c r="A3" t="s">
        <v>2</v>
      </c>
      <c r="B3" s="48" t="s">
        <v>1</v>
      </c>
    </row>
    <row r="4" spans="1:3" ht="14.25">
      <c r="A4" s="9" t="s">
        <v>3</v>
      </c>
      <c r="B4" s="48" t="s">
        <v>4</v>
      </c>
      <c r="C4" t="s">
        <v>5</v>
      </c>
    </row>
    <row r="5" spans="1:3">
      <c r="A5" t="s">
        <v>6</v>
      </c>
      <c r="B5" t="s">
        <v>7</v>
      </c>
      <c r="C5" t="s">
        <v>8</v>
      </c>
    </row>
    <row r="6" spans="1:3">
      <c r="A6" t="s">
        <v>9</v>
      </c>
      <c r="B6" s="48" t="s">
        <v>10</v>
      </c>
      <c r="C6" t="s">
        <v>11</v>
      </c>
    </row>
  </sheetData>
  <conditionalFormatting sqref="A4">
    <cfRule type="notContainsBlanks" dxfId="116" priority="1">
      <formula>LEN(TRIM(A4))&gt;0</formula>
    </cfRule>
    <cfRule type="containsBlanks" dxfId="115" priority="2">
      <formula>LEN(TRIM(A4))=0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4E08-E0A2-443A-BA04-BEACB50D1672}">
  <dimension ref="A1:BA27"/>
  <sheetViews>
    <sheetView tabSelected="1" workbookViewId="0">
      <pane xSplit="4" topLeftCell="E1" activePane="topRight" state="frozen"/>
      <selection pane="topRight" activeCell="B9" sqref="B9"/>
    </sheetView>
  </sheetViews>
  <sheetFormatPr defaultRowHeight="14.25" customHeight="1"/>
  <cols>
    <col min="1" max="1" width="14.125" bestFit="1" customWidth="1"/>
    <col min="10" max="17" width="9.75" bestFit="1" customWidth="1"/>
    <col min="24" max="31" width="10.125" bestFit="1" customWidth="1"/>
    <col min="32" max="32" width="11.5" bestFit="1" customWidth="1"/>
    <col min="33" max="38" width="10.125" bestFit="1" customWidth="1"/>
    <col min="40" max="40" width="9.125" customWidth="1"/>
    <col min="41" max="42" width="10.375" bestFit="1" customWidth="1"/>
    <col min="43" max="43" width="12.375" customWidth="1"/>
    <col min="44" max="47" width="11.125" bestFit="1" customWidth="1"/>
  </cols>
  <sheetData>
    <row r="1" spans="1:53" s="53" customFormat="1" ht="15.75">
      <c r="A1" s="51" t="s">
        <v>12</v>
      </c>
      <c r="B1" s="51" t="s">
        <v>13</v>
      </c>
      <c r="C1" s="51" t="s">
        <v>14</v>
      </c>
      <c r="D1" s="52" t="s">
        <v>15</v>
      </c>
      <c r="J1" s="66">
        <v>46192</v>
      </c>
      <c r="K1" s="66">
        <v>46191</v>
      </c>
      <c r="L1" s="66">
        <v>46190</v>
      </c>
      <c r="M1" s="66">
        <v>46189</v>
      </c>
      <c r="N1" s="66">
        <v>46188</v>
      </c>
      <c r="O1" s="54">
        <v>46185</v>
      </c>
      <c r="P1" s="54">
        <v>46184</v>
      </c>
      <c r="Q1" s="54">
        <v>46183</v>
      </c>
      <c r="R1" s="54">
        <v>46182</v>
      </c>
      <c r="S1" s="54">
        <v>46181</v>
      </c>
      <c r="T1" s="54">
        <v>46178</v>
      </c>
      <c r="U1" s="54">
        <v>46177</v>
      </c>
      <c r="V1" s="54">
        <v>46176</v>
      </c>
      <c r="W1" s="54">
        <v>46175</v>
      </c>
      <c r="X1" s="54">
        <v>46174</v>
      </c>
      <c r="Y1" s="54">
        <v>46171</v>
      </c>
      <c r="Z1" s="54">
        <v>46170</v>
      </c>
      <c r="AA1" s="54">
        <v>46169</v>
      </c>
      <c r="AB1" s="54">
        <v>46168</v>
      </c>
      <c r="AC1" s="54">
        <v>46167</v>
      </c>
      <c r="AD1" s="54">
        <v>46163</v>
      </c>
      <c r="AE1" s="54">
        <v>46162</v>
      </c>
      <c r="AF1" s="54">
        <v>46161</v>
      </c>
      <c r="AG1" s="54">
        <v>46160</v>
      </c>
      <c r="AH1" s="54">
        <v>46157</v>
      </c>
      <c r="AI1" s="54">
        <v>46156</v>
      </c>
      <c r="AJ1" s="54">
        <v>46155</v>
      </c>
      <c r="AK1" s="54">
        <v>46154</v>
      </c>
      <c r="AL1" s="54">
        <v>46153</v>
      </c>
      <c r="AM1" s="54">
        <v>46150</v>
      </c>
      <c r="AN1" s="54">
        <v>46149</v>
      </c>
      <c r="AO1" s="54">
        <v>46148</v>
      </c>
      <c r="AP1" s="54">
        <v>46147</v>
      </c>
      <c r="AQ1" s="54">
        <v>46146</v>
      </c>
      <c r="AR1" s="54">
        <v>46136</v>
      </c>
      <c r="AS1" s="54">
        <v>46135</v>
      </c>
      <c r="AT1" s="54">
        <v>46134</v>
      </c>
      <c r="AU1" s="54">
        <v>46133</v>
      </c>
    </row>
    <row r="2" spans="1:53" ht="15.75">
      <c r="A2" s="42" t="s">
        <v>16</v>
      </c>
      <c r="B2" s="41">
        <f>109+135+'11-05-2026'!M20+46+'26-05-2026'!M20+'05-06-2026'!M20+'12-06-2026'!M20+'15-06-2026'!M20</f>
        <v>1172</v>
      </c>
      <c r="C2" s="41">
        <f>SUM(I2:EG2)+64</f>
        <v>1075</v>
      </c>
      <c r="D2" s="45">
        <f>B2-C2</f>
        <v>97</v>
      </c>
      <c r="J2">
        <f>'19-06-2026'!J2</f>
        <v>0</v>
      </c>
      <c r="K2">
        <f>'18-06-2026'!J2</f>
        <v>27</v>
      </c>
      <c r="L2">
        <f>'17-06-2026'!J2</f>
        <v>27</v>
      </c>
      <c r="M2">
        <f>'16-06-2026'!J2</f>
        <v>25</v>
      </c>
      <c r="N2">
        <f>'15-06-2026'!J2</f>
        <v>26</v>
      </c>
      <c r="O2">
        <f>'12-06-2026'!J2</f>
        <v>31</v>
      </c>
      <c r="P2">
        <f>'11-06-2026'!J2</f>
        <v>26</v>
      </c>
      <c r="Q2">
        <f>'10-06-2026'!J2</f>
        <v>26</v>
      </c>
      <c r="R2">
        <f>'09-06-2026'!J2</f>
        <v>24</v>
      </c>
      <c r="S2">
        <f>'08-06-2026'!J2</f>
        <v>28</v>
      </c>
      <c r="T2">
        <f>'05-06-2026'!J2</f>
        <v>33</v>
      </c>
      <c r="U2">
        <f>'04-06-2026'!J2</f>
        <v>25</v>
      </c>
      <c r="V2">
        <f>'03-06-2026'!J2</f>
        <v>25</v>
      </c>
      <c r="W2">
        <f>'02-06-2026'!J2</f>
        <v>29</v>
      </c>
      <c r="X2">
        <f>'01-06-2026'!J2</f>
        <v>25</v>
      </c>
      <c r="Y2">
        <f>'29-05-2026'!J2</f>
        <v>32</v>
      </c>
      <c r="Z2">
        <f>'28-05-2026'!J2</f>
        <v>27</v>
      </c>
      <c r="AA2">
        <f>'27-05-2026'!J2</f>
        <v>29</v>
      </c>
      <c r="AB2">
        <f>'26-05-2026'!J2</f>
        <v>29</v>
      </c>
      <c r="AC2">
        <f>'25-05-2026 '!J2</f>
        <v>26</v>
      </c>
      <c r="AD2">
        <f>'21-05-2026'!J2</f>
        <v>26</v>
      </c>
      <c r="AE2">
        <f>'20-05-2026'!J2</f>
        <v>27</v>
      </c>
      <c r="AF2">
        <f>'19-05-2026'!J2</f>
        <v>29</v>
      </c>
      <c r="AG2">
        <f>'18-05-2026 '!J2</f>
        <v>27</v>
      </c>
      <c r="AH2" s="58">
        <f>'15-05-2026'!J2</f>
        <v>29</v>
      </c>
      <c r="AI2" s="58">
        <f>'14-05-2026'!J2</f>
        <v>28</v>
      </c>
      <c r="AJ2" s="58">
        <f>'13-05-2026'!J2</f>
        <v>26</v>
      </c>
      <c r="AK2" s="58">
        <f>'12-05-2026'!J2</f>
        <v>28</v>
      </c>
      <c r="AL2" s="58">
        <f>'11-05-2026'!J2</f>
        <v>27</v>
      </c>
      <c r="AM2" s="59">
        <f>'08-05-2026'!J2</f>
        <v>28</v>
      </c>
      <c r="AN2" s="59">
        <f>'07-05-2026'!J2</f>
        <v>27</v>
      </c>
      <c r="AO2" s="59">
        <f>'06-05-2026'!J2</f>
        <v>26</v>
      </c>
      <c r="AP2" s="59">
        <f>'05-05-2026'!J2</f>
        <v>27</v>
      </c>
      <c r="AQ2" s="60">
        <f>'04-05-2026'!J2</f>
        <v>27</v>
      </c>
      <c r="AR2" s="50">
        <f>'24-04-2026'!J2</f>
        <v>32</v>
      </c>
      <c r="AS2" s="50">
        <f>'23-04-2026'!J2</f>
        <v>26</v>
      </c>
      <c r="AT2" s="50">
        <f>'22-04-2026'!J2</f>
        <v>25</v>
      </c>
      <c r="AU2" s="50">
        <f>'21-04-2026'!J2</f>
        <v>26</v>
      </c>
    </row>
    <row r="3" spans="1:53" ht="15.75">
      <c r="A3" s="42" t="s">
        <v>17</v>
      </c>
      <c r="B3" s="41">
        <f>136+165+117+262</f>
        <v>680</v>
      </c>
      <c r="C3" s="41">
        <f t="shared" ref="C3:C12" si="0">SUM(I3:EG3)</f>
        <v>680</v>
      </c>
      <c r="D3" s="45">
        <f t="shared" ref="D3:D12" si="1">B3-C3</f>
        <v>0</v>
      </c>
      <c r="J3">
        <f>'19-06-2026'!J3</f>
        <v>0</v>
      </c>
      <c r="K3">
        <f>'18-06-2026'!J3</f>
        <v>27</v>
      </c>
      <c r="L3">
        <f>'17-06-2026'!J3</f>
        <v>27</v>
      </c>
      <c r="M3">
        <f>'16-06-2026'!J3</f>
        <v>25</v>
      </c>
      <c r="N3">
        <f>'15-06-2026'!J3</f>
        <v>0</v>
      </c>
      <c r="O3">
        <f>'12-06-2026'!J3</f>
        <v>0</v>
      </c>
      <c r="P3">
        <f>'11-06-2026'!J3</f>
        <v>26</v>
      </c>
      <c r="Q3">
        <f>'10-06-2026'!J3</f>
        <v>26</v>
      </c>
      <c r="R3">
        <f>'09-06-2026'!J3</f>
        <v>24</v>
      </c>
      <c r="S3">
        <f>'08-06-2026'!J3</f>
        <v>28</v>
      </c>
      <c r="T3">
        <f>'05-06-2026'!J3</f>
        <v>0</v>
      </c>
      <c r="U3">
        <f>'04-06-2026'!J3</f>
        <v>25</v>
      </c>
      <c r="V3">
        <f>'03-06-2026'!J3</f>
        <v>25</v>
      </c>
      <c r="W3">
        <f>'02-06-2026'!J3</f>
        <v>29</v>
      </c>
      <c r="X3">
        <f>'01-06-2026'!J3</f>
        <v>35</v>
      </c>
      <c r="Y3">
        <f>'29-05-2026'!J3</f>
        <v>0</v>
      </c>
      <c r="Z3">
        <f>'28-05-2026'!J3</f>
        <v>27</v>
      </c>
      <c r="AA3">
        <f>'27-05-2026'!J3</f>
        <v>29</v>
      </c>
      <c r="AB3">
        <f>'26-05-2026'!J3</f>
        <v>0</v>
      </c>
      <c r="AC3">
        <f>'25-05-2026 '!J3</f>
        <v>0</v>
      </c>
      <c r="AD3">
        <f>'21-05-2026'!J3</f>
        <v>26</v>
      </c>
      <c r="AE3">
        <f>'20-05-2026'!J3</f>
        <v>0</v>
      </c>
      <c r="AF3">
        <f>'19-05-2026'!J3</f>
        <v>0</v>
      </c>
      <c r="AG3">
        <f>'18-05-2026 '!J3</f>
        <v>27</v>
      </c>
      <c r="AH3" s="58">
        <f>'15-05-2026'!J3</f>
        <v>29</v>
      </c>
      <c r="AI3" s="58">
        <f>'14-05-2026'!J3</f>
        <v>0</v>
      </c>
      <c r="AJ3" s="58">
        <f>'13-05-2026'!J3</f>
        <v>0</v>
      </c>
      <c r="AK3" s="58">
        <f>'12-05-2026'!J3</f>
        <v>28</v>
      </c>
      <c r="AL3" s="58">
        <f>'11-05-2026'!J3</f>
        <v>0</v>
      </c>
      <c r="AM3" s="59">
        <f>'08-05-2026'!J3</f>
        <v>28</v>
      </c>
      <c r="AN3" s="59">
        <f>'07-05-2026'!J3</f>
        <v>27</v>
      </c>
      <c r="AO3" s="59">
        <f>'06-05-2026'!J3</f>
        <v>26</v>
      </c>
      <c r="AP3" s="59">
        <f>'05-05-2026'!J3</f>
        <v>0</v>
      </c>
      <c r="AQ3" s="60">
        <f>'04-05-2026'!J3</f>
        <v>27</v>
      </c>
      <c r="AR3" s="50">
        <f>'24-04-2026'!J3</f>
        <v>32</v>
      </c>
      <c r="AS3" s="50">
        <f>'23-04-2026'!J3</f>
        <v>26</v>
      </c>
      <c r="AT3" s="50">
        <f>'22-04-2026'!J3</f>
        <v>25</v>
      </c>
      <c r="AU3" s="50">
        <f>'21-04-2026'!J3</f>
        <v>26</v>
      </c>
    </row>
    <row r="4" spans="1:53" ht="15.75">
      <c r="A4" s="42" t="s">
        <v>18</v>
      </c>
      <c r="B4" s="41">
        <f>'24-04-2026'!M21+20+320+70+226</f>
        <v>867</v>
      </c>
      <c r="C4" s="41">
        <f>SUM(I4:EG4)+30+22+32</f>
        <v>867</v>
      </c>
      <c r="D4" s="45">
        <f>B4-C4</f>
        <v>0</v>
      </c>
      <c r="J4">
        <f>'19-06-2026'!J4</f>
        <v>0</v>
      </c>
      <c r="K4">
        <f>'18-06-2026'!J4</f>
        <v>0</v>
      </c>
      <c r="L4">
        <f>'17-06-2026'!J4</f>
        <v>0</v>
      </c>
      <c r="M4">
        <f>'16-06-2026'!J4</f>
        <v>0</v>
      </c>
      <c r="N4">
        <f>'15-06-2026'!J4</f>
        <v>0</v>
      </c>
      <c r="O4">
        <f>'12-06-2026'!J4</f>
        <v>0</v>
      </c>
      <c r="P4">
        <f>'11-06-2026'!J4</f>
        <v>0</v>
      </c>
      <c r="Q4">
        <f>'10-06-2026'!J4</f>
        <v>0</v>
      </c>
      <c r="R4">
        <f>'09-06-2026'!J4</f>
        <v>0</v>
      </c>
      <c r="S4">
        <f>'08-06-2026'!J4</f>
        <v>0</v>
      </c>
      <c r="T4">
        <f>'05-06-2026'!J4</f>
        <v>43</v>
      </c>
      <c r="U4">
        <f>'04-06-2026'!J4</f>
        <v>35</v>
      </c>
      <c r="V4">
        <f>'03-06-2026'!J4</f>
        <v>25</v>
      </c>
      <c r="W4">
        <f>'02-06-2026'!J4</f>
        <v>39</v>
      </c>
      <c r="X4">
        <f>'01-06-2026'!J4</f>
        <v>25</v>
      </c>
      <c r="Y4">
        <f>'29-05-2026'!J4</f>
        <v>47</v>
      </c>
      <c r="Z4">
        <f>'28-05-2026'!J4</f>
        <v>27</v>
      </c>
      <c r="AA4">
        <f>'27-05-2026'!J4</f>
        <v>0</v>
      </c>
      <c r="AB4">
        <f>'26-05-2026'!J4</f>
        <v>29</v>
      </c>
      <c r="AC4">
        <f>'25-05-2026 '!J4</f>
        <v>36</v>
      </c>
      <c r="AD4">
        <f>'21-05-2026'!J4</f>
        <v>0</v>
      </c>
      <c r="AE4">
        <f>'20-05-2026'!J4</f>
        <v>0</v>
      </c>
      <c r="AF4">
        <f>'19-05-2026'!J4</f>
        <v>0</v>
      </c>
      <c r="AG4">
        <f>'18-05-2026 '!J4</f>
        <v>37</v>
      </c>
      <c r="AH4" s="58">
        <f>'15-05-2026'!J4</f>
        <v>39</v>
      </c>
      <c r="AI4" s="58">
        <f>'14-05-2026'!J4</f>
        <v>38</v>
      </c>
      <c r="AJ4" s="58">
        <f>'13-05-2026'!J4</f>
        <v>36</v>
      </c>
      <c r="AK4" s="58">
        <f>'12-05-2026'!J4</f>
        <v>28</v>
      </c>
      <c r="AL4" s="58">
        <f>'11-05-2026'!J4</f>
        <v>37</v>
      </c>
      <c r="AM4" s="59">
        <f>'08-05-2026'!J4</f>
        <v>38</v>
      </c>
      <c r="AN4" s="59">
        <f>'07-05-2026'!J4</f>
        <v>0</v>
      </c>
      <c r="AO4" s="59">
        <f>'06-05-2026'!J4</f>
        <v>26</v>
      </c>
      <c r="AP4" s="59">
        <f>'05-05-2026'!J4</f>
        <v>27</v>
      </c>
      <c r="AQ4" s="60">
        <f>'04-05-2026'!J4</f>
        <v>27</v>
      </c>
      <c r="AR4" s="50">
        <f>'24-04-2026'!J4</f>
        <v>42</v>
      </c>
      <c r="AS4" s="50">
        <f>'23-04-2026'!J4</f>
        <v>26</v>
      </c>
      <c r="AT4" s="50">
        <f>'22-04-2026'!J4</f>
        <v>50</v>
      </c>
      <c r="AU4" s="50">
        <f>'21-04-2026'!J4</f>
        <v>26</v>
      </c>
    </row>
    <row r="5" spans="1:53" ht="15.75">
      <c r="A5" s="42" t="s">
        <v>19</v>
      </c>
      <c r="B5" s="41">
        <f>500+500+500+500</f>
        <v>2000</v>
      </c>
      <c r="C5" s="41">
        <f>SUM(I5:EG5)+22</f>
        <v>1033</v>
      </c>
      <c r="D5" s="45">
        <f t="shared" si="1"/>
        <v>967</v>
      </c>
      <c r="J5">
        <f>'19-06-2026'!J5</f>
        <v>0</v>
      </c>
      <c r="K5">
        <f>'18-06-2026'!J5</f>
        <v>27</v>
      </c>
      <c r="L5">
        <f>'17-06-2026'!J5</f>
        <v>27</v>
      </c>
      <c r="M5">
        <f>'16-06-2026'!J5</f>
        <v>25</v>
      </c>
      <c r="N5">
        <f>'15-06-2026'!J5</f>
        <v>26</v>
      </c>
      <c r="O5">
        <f>'12-06-2026'!J5</f>
        <v>31</v>
      </c>
      <c r="P5">
        <f>'11-06-2026'!J5</f>
        <v>26</v>
      </c>
      <c r="Q5">
        <f>'10-06-2026'!J5</f>
        <v>26</v>
      </c>
      <c r="R5">
        <f>'09-06-2026'!J5</f>
        <v>24</v>
      </c>
      <c r="S5">
        <f>'08-06-2026'!J5</f>
        <v>28</v>
      </c>
      <c r="T5">
        <f>'05-06-2026'!J5</f>
        <v>33</v>
      </c>
      <c r="U5">
        <f>'04-06-2026'!J5</f>
        <v>25</v>
      </c>
      <c r="V5">
        <f>'03-06-2026'!J5</f>
        <v>25</v>
      </c>
      <c r="W5">
        <f>'02-06-2026'!J5</f>
        <v>29</v>
      </c>
      <c r="X5">
        <f>'01-06-2026'!J5</f>
        <v>25</v>
      </c>
      <c r="Y5">
        <f>'29-05-2026'!J5</f>
        <v>32</v>
      </c>
      <c r="Z5">
        <f>'28-05-2026'!J5</f>
        <v>27</v>
      </c>
      <c r="AA5">
        <f>'27-05-2026'!J5</f>
        <v>29</v>
      </c>
      <c r="AB5">
        <f>'26-05-2026'!J5</f>
        <v>29</v>
      </c>
      <c r="AC5">
        <f>'25-05-2026 '!J5</f>
        <v>26</v>
      </c>
      <c r="AD5">
        <f>'21-05-2026'!J5</f>
        <v>26</v>
      </c>
      <c r="AE5">
        <f>'20-05-2026'!J5</f>
        <v>27</v>
      </c>
      <c r="AF5">
        <f>'19-05-2026'!J5</f>
        <v>29</v>
      </c>
      <c r="AG5">
        <f>'18-05-2026 '!J5</f>
        <v>27</v>
      </c>
      <c r="AH5" s="58">
        <f>'15-05-2026'!J5</f>
        <v>29</v>
      </c>
      <c r="AI5" s="58">
        <f>'14-05-2026'!J5</f>
        <v>28</v>
      </c>
      <c r="AJ5" s="58">
        <f>'13-05-2026'!J5</f>
        <v>26</v>
      </c>
      <c r="AK5" s="58">
        <f>'12-05-2026'!J5</f>
        <v>28</v>
      </c>
      <c r="AL5" s="58">
        <f>'11-05-2026'!J5</f>
        <v>27</v>
      </c>
      <c r="AM5" s="59">
        <f>'08-05-2026'!J5</f>
        <v>28</v>
      </c>
      <c r="AN5" s="59">
        <f>'07-05-2026'!J5</f>
        <v>27</v>
      </c>
      <c r="AO5" s="59">
        <f>'06-05-2026'!J5</f>
        <v>26</v>
      </c>
      <c r="AP5" s="59">
        <f>'05-05-2026'!J5</f>
        <v>27</v>
      </c>
      <c r="AQ5" s="60">
        <f>'04-05-2026'!J5</f>
        <v>27</v>
      </c>
      <c r="AR5" s="50">
        <f>'24-04-2026'!J5</f>
        <v>32</v>
      </c>
      <c r="AS5" s="50">
        <f>'23-04-2026'!J5</f>
        <v>26</v>
      </c>
      <c r="AT5" s="50">
        <f>'22-04-2026'!J5</f>
        <v>25</v>
      </c>
      <c r="AU5" s="50">
        <f>'21-04-2026'!J5</f>
        <v>26</v>
      </c>
    </row>
    <row r="6" spans="1:53" ht="15.75">
      <c r="A6" s="43" t="s">
        <v>20</v>
      </c>
      <c r="B6" s="41">
        <f>36+213</f>
        <v>249</v>
      </c>
      <c r="C6" s="41">
        <f>SUM(I6:EG6)+35+22</f>
        <v>413</v>
      </c>
      <c r="D6" s="45">
        <f t="shared" si="1"/>
        <v>-164</v>
      </c>
      <c r="J6">
        <f>'19-06-2026'!J6</f>
        <v>0</v>
      </c>
      <c r="K6">
        <f>'18-06-2026'!J6</f>
        <v>0</v>
      </c>
      <c r="L6">
        <f>'17-06-2026'!J6</f>
        <v>27</v>
      </c>
      <c r="M6">
        <f>'16-06-2026'!J6</f>
        <v>0</v>
      </c>
      <c r="N6">
        <f>'15-06-2026'!J6</f>
        <v>26</v>
      </c>
      <c r="O6">
        <f>'12-06-2026'!J6</f>
        <v>0</v>
      </c>
      <c r="P6">
        <f>'11-06-2026'!J6</f>
        <v>26</v>
      </c>
      <c r="Q6">
        <f>'10-06-2026'!J6</f>
        <v>0</v>
      </c>
      <c r="R6">
        <f>'09-06-2026'!J6</f>
        <v>0</v>
      </c>
      <c r="S6">
        <f>'08-06-2026'!J6</f>
        <v>28</v>
      </c>
      <c r="T6">
        <f>'05-06-2026'!J6</f>
        <v>0</v>
      </c>
      <c r="U6">
        <f>'04-06-2026'!J6</f>
        <v>0</v>
      </c>
      <c r="V6">
        <f>'03-06-2026'!J6</f>
        <v>25</v>
      </c>
      <c r="W6">
        <f>'02-06-2026'!J6</f>
        <v>0</v>
      </c>
      <c r="X6">
        <f>'01-06-2026'!J6</f>
        <v>25</v>
      </c>
      <c r="Y6">
        <f>'29-05-2026'!J6</f>
        <v>0</v>
      </c>
      <c r="Z6">
        <f>'28-05-2026'!J6</f>
        <v>0</v>
      </c>
      <c r="AA6">
        <f>'27-05-2026'!J6</f>
        <v>0</v>
      </c>
      <c r="AB6">
        <f>'26-05-2026'!J6</f>
        <v>0</v>
      </c>
      <c r="AC6">
        <f>'25-05-2026 '!J6</f>
        <v>0</v>
      </c>
      <c r="AD6">
        <f>'21-05-2026'!J6</f>
        <v>0</v>
      </c>
      <c r="AE6">
        <f>'20-05-2026'!J6</f>
        <v>0</v>
      </c>
      <c r="AF6">
        <f>'19-05-2026'!J6</f>
        <v>0</v>
      </c>
      <c r="AG6">
        <f>'18-05-2026 '!J6</f>
        <v>0</v>
      </c>
      <c r="AH6" s="58">
        <f>'15-05-2026'!J6</f>
        <v>0</v>
      </c>
      <c r="AI6" s="58">
        <f>'14-05-2026'!J6</f>
        <v>28</v>
      </c>
      <c r="AJ6" s="58">
        <f>'13-05-2026'!J6</f>
        <v>0</v>
      </c>
      <c r="AK6" s="58">
        <f>'12-05-2026'!J6</f>
        <v>0</v>
      </c>
      <c r="AL6" s="58">
        <f>'11-05-2026'!J6</f>
        <v>27</v>
      </c>
      <c r="AM6" s="59">
        <f>'08-05-2026'!J6</f>
        <v>28</v>
      </c>
      <c r="AN6" s="59">
        <f>'07-05-2026'!J6</f>
        <v>27</v>
      </c>
      <c r="AO6" s="59">
        <f>'06-05-2026'!J6</f>
        <v>0</v>
      </c>
      <c r="AP6" s="59">
        <f>'05-05-2026'!J6</f>
        <v>27</v>
      </c>
      <c r="AQ6" s="60">
        <f>'04-05-2026'!J6</f>
        <v>0</v>
      </c>
      <c r="AR6" s="50">
        <f>'24-04-2026'!J6</f>
        <v>0</v>
      </c>
      <c r="AS6" s="50">
        <f>'23-04-2026'!J6</f>
        <v>26</v>
      </c>
      <c r="AT6" s="50">
        <f>'22-04-2026'!J6</f>
        <v>0</v>
      </c>
      <c r="AU6" s="50">
        <f>'21-04-2026'!J6</f>
        <v>36</v>
      </c>
    </row>
    <row r="7" spans="1:53" ht="15.75">
      <c r="A7" s="42" t="s">
        <v>21</v>
      </c>
      <c r="B7" s="41">
        <f>164+65+158+220+259</f>
        <v>866</v>
      </c>
      <c r="C7" s="41">
        <f t="shared" si="0"/>
        <v>866</v>
      </c>
      <c r="D7" s="45">
        <f t="shared" si="1"/>
        <v>0</v>
      </c>
      <c r="J7">
        <f>'19-06-2026'!J7</f>
        <v>0</v>
      </c>
      <c r="K7">
        <f>'18-06-2026'!J7</f>
        <v>0</v>
      </c>
      <c r="L7">
        <f>'17-06-2026'!J7</f>
        <v>0</v>
      </c>
      <c r="M7">
        <f>'16-06-2026'!J7</f>
        <v>0</v>
      </c>
      <c r="N7">
        <f>'15-06-2026'!J7</f>
        <v>0</v>
      </c>
      <c r="O7">
        <f>'12-06-2026'!J7</f>
        <v>31</v>
      </c>
      <c r="P7">
        <f>'11-06-2026'!J7</f>
        <v>26</v>
      </c>
      <c r="Q7">
        <f>'10-06-2026'!J7</f>
        <v>26</v>
      </c>
      <c r="R7">
        <f>'09-06-2026'!J7</f>
        <v>24</v>
      </c>
      <c r="S7">
        <f>'08-06-2026'!J7</f>
        <v>28</v>
      </c>
      <c r="T7">
        <f>'05-06-2026'!J7</f>
        <v>0</v>
      </c>
      <c r="U7">
        <f>'04-06-2026'!J7</f>
        <v>35</v>
      </c>
      <c r="V7">
        <f>'03-06-2026'!J7</f>
        <v>25</v>
      </c>
      <c r="W7">
        <f>'02-06-2026'!J7</f>
        <v>29</v>
      </c>
      <c r="X7">
        <f>'01-06-2026'!J7</f>
        <v>35</v>
      </c>
      <c r="Y7">
        <f>'29-05-2026'!J7</f>
        <v>0</v>
      </c>
      <c r="Z7">
        <f>'28-05-2026'!J7</f>
        <v>27</v>
      </c>
      <c r="AA7">
        <f>'27-05-2026'!J7</f>
        <v>29</v>
      </c>
      <c r="AB7">
        <f>'26-05-2026'!J7</f>
        <v>29</v>
      </c>
      <c r="AC7">
        <f>'25-05-2026 '!J7</f>
        <v>26</v>
      </c>
      <c r="AD7">
        <f>'21-05-2026'!J7</f>
        <v>26</v>
      </c>
      <c r="AE7">
        <f>'20-05-2026'!J7</f>
        <v>27</v>
      </c>
      <c r="AF7">
        <f>'19-05-2026'!J7</f>
        <v>29</v>
      </c>
      <c r="AG7">
        <f>'18-05-2026 '!J7</f>
        <v>27</v>
      </c>
      <c r="AH7" s="58">
        <f>'15-05-2026'!J7</f>
        <v>39</v>
      </c>
      <c r="AI7" s="58">
        <f>'14-05-2026'!J7</f>
        <v>28</v>
      </c>
      <c r="AJ7" s="58">
        <f>'13-05-2026'!J7</f>
        <v>36</v>
      </c>
      <c r="AK7" s="58">
        <f>'12-05-2026'!J7</f>
        <v>28</v>
      </c>
      <c r="AL7" s="58">
        <f>'11-05-2026'!J7</f>
        <v>27</v>
      </c>
      <c r="AM7" s="59">
        <f>'08-05-2026'!J7</f>
        <v>38</v>
      </c>
      <c r="AN7" s="59">
        <f>'07-05-2026'!J7</f>
        <v>27</v>
      </c>
      <c r="AO7" s="59">
        <f>'06-05-2026'!J7</f>
        <v>26</v>
      </c>
      <c r="AP7" s="59">
        <f>'05-05-2026'!J7</f>
        <v>27</v>
      </c>
      <c r="AQ7" s="60">
        <f>'04-05-2026'!J7</f>
        <v>27</v>
      </c>
      <c r="AR7" s="50">
        <f>'24-04-2026'!J7</f>
        <v>32</v>
      </c>
      <c r="AS7" s="50">
        <f>'23-04-2026'!J7</f>
        <v>26</v>
      </c>
      <c r="AT7" s="50">
        <f>'22-04-2026'!J7</f>
        <v>0</v>
      </c>
      <c r="AU7" s="50">
        <f>'21-04-2026'!J7</f>
        <v>26</v>
      </c>
    </row>
    <row r="8" spans="1:53" ht="15.75">
      <c r="A8" s="42" t="s">
        <v>22</v>
      </c>
      <c r="B8" s="41">
        <f>162+192+292</f>
        <v>646</v>
      </c>
      <c r="C8" s="41">
        <f>SUM(I8:EG8)+41</f>
        <v>646</v>
      </c>
      <c r="D8" s="45">
        <f t="shared" si="1"/>
        <v>0</v>
      </c>
      <c r="J8">
        <f>'19-06-2026'!J8</f>
        <v>0</v>
      </c>
      <c r="K8">
        <f>'18-06-2026'!J8</f>
        <v>27</v>
      </c>
      <c r="L8">
        <f>'17-06-2026'!J8</f>
        <v>0</v>
      </c>
      <c r="M8">
        <f>'16-06-2026'!J8</f>
        <v>0</v>
      </c>
      <c r="N8">
        <f>'15-06-2026'!J8</f>
        <v>26</v>
      </c>
      <c r="O8">
        <f>'12-06-2026'!J8</f>
        <v>31</v>
      </c>
      <c r="P8">
        <f>'11-06-2026'!J8</f>
        <v>26</v>
      </c>
      <c r="Q8">
        <f>'10-06-2026'!J8</f>
        <v>26</v>
      </c>
      <c r="R8">
        <f>'09-06-2026'!J8</f>
        <v>0</v>
      </c>
      <c r="S8">
        <f>'08-06-2026'!J8</f>
        <v>28</v>
      </c>
      <c r="T8">
        <f>'05-06-2026'!J8</f>
        <v>33</v>
      </c>
      <c r="U8">
        <f>'04-06-2026'!J8</f>
        <v>25</v>
      </c>
      <c r="V8">
        <f>'03-06-2026'!J8</f>
        <v>0</v>
      </c>
      <c r="W8">
        <f>'02-06-2026'!J8</f>
        <v>29</v>
      </c>
      <c r="X8">
        <f>'01-06-2026'!J8</f>
        <v>25</v>
      </c>
      <c r="Y8">
        <f>'29-05-2026'!J8</f>
        <v>0</v>
      </c>
      <c r="Z8">
        <f>'28-05-2026'!J8</f>
        <v>27</v>
      </c>
      <c r="AA8">
        <f>'27-05-2026'!J8</f>
        <v>0</v>
      </c>
      <c r="AB8">
        <f>'26-05-2026'!J8</f>
        <v>29</v>
      </c>
      <c r="AC8">
        <f>'25-05-2026 '!J8</f>
        <v>0</v>
      </c>
      <c r="AD8">
        <f>'21-05-2026'!J8</f>
        <v>0</v>
      </c>
      <c r="AE8">
        <f>'20-05-2026'!J8</f>
        <v>27</v>
      </c>
      <c r="AF8">
        <f>'19-05-2026'!J8</f>
        <v>29</v>
      </c>
      <c r="AG8">
        <f>'18-05-2026 '!J8</f>
        <v>27</v>
      </c>
      <c r="AH8" s="58">
        <f>'15-05-2026'!J8</f>
        <v>0</v>
      </c>
      <c r="AI8" s="58">
        <f>'14-05-2026'!J8</f>
        <v>0</v>
      </c>
      <c r="AJ8" s="58">
        <f>'13-05-2026'!J8</f>
        <v>0</v>
      </c>
      <c r="AK8" s="58">
        <f>'12-05-2026'!J8</f>
        <v>28</v>
      </c>
      <c r="AL8" s="58">
        <f>'11-05-2026'!J8</f>
        <v>0</v>
      </c>
      <c r="AM8" s="59">
        <f>'08-05-2026'!J8</f>
        <v>0</v>
      </c>
      <c r="AN8" s="59">
        <f>'07-05-2026'!J8</f>
        <v>27</v>
      </c>
      <c r="AO8" s="59">
        <f>'06-05-2026'!J8</f>
        <v>26</v>
      </c>
      <c r="AP8" s="59">
        <f>'05-05-2026'!J8</f>
        <v>0</v>
      </c>
      <c r="AQ8" s="60">
        <f>'04-05-2026'!J8</f>
        <v>0</v>
      </c>
      <c r="AR8" s="50">
        <f>'24-04-2026'!J8</f>
        <v>32</v>
      </c>
      <c r="AS8" s="50">
        <f>'23-04-2026'!J8</f>
        <v>26</v>
      </c>
      <c r="AT8" s="50">
        <f>'22-04-2026'!J8</f>
        <v>25</v>
      </c>
      <c r="AU8" s="50">
        <f>'21-04-2026'!J8</f>
        <v>26</v>
      </c>
    </row>
    <row r="9" spans="1:53" ht="15.75">
      <c r="A9" s="42" t="s">
        <v>23</v>
      </c>
      <c r="B9" s="41">
        <f>109+380</f>
        <v>489</v>
      </c>
      <c r="C9" s="41">
        <f t="shared" si="0"/>
        <v>949</v>
      </c>
      <c r="D9" s="45">
        <f t="shared" si="1"/>
        <v>-460</v>
      </c>
      <c r="J9">
        <f>'19-06-2026'!J9</f>
        <v>0</v>
      </c>
      <c r="K9">
        <f>'18-06-2026'!J9</f>
        <v>27</v>
      </c>
      <c r="L9">
        <f>'17-06-2026'!J9</f>
        <v>27</v>
      </c>
      <c r="M9">
        <f>'16-06-2026'!J9</f>
        <v>25</v>
      </c>
      <c r="N9">
        <f>'15-06-2026'!J9</f>
        <v>26</v>
      </c>
      <c r="O9">
        <f>'12-06-2026'!J9</f>
        <v>31</v>
      </c>
      <c r="P9">
        <f>'11-06-2026'!J9</f>
        <v>26</v>
      </c>
      <c r="Q9">
        <f>'10-06-2026'!J9</f>
        <v>26</v>
      </c>
      <c r="R9">
        <f>'09-06-2026'!J9</f>
        <v>24</v>
      </c>
      <c r="S9">
        <f>'08-06-2026'!J9</f>
        <v>28</v>
      </c>
      <c r="T9">
        <f>'05-06-2026'!J9</f>
        <v>0</v>
      </c>
      <c r="U9">
        <f>'04-06-2026'!J9</f>
        <v>25</v>
      </c>
      <c r="V9">
        <f>'03-06-2026'!J9</f>
        <v>25</v>
      </c>
      <c r="W9">
        <f>'02-06-2026'!J9</f>
        <v>29</v>
      </c>
      <c r="X9">
        <f>'01-06-2026'!J9</f>
        <v>25</v>
      </c>
      <c r="Y9">
        <f>'29-05-2026'!J9</f>
        <v>32</v>
      </c>
      <c r="Z9">
        <f>'28-05-2026'!J9</f>
        <v>27</v>
      </c>
      <c r="AA9">
        <f>'27-05-2026'!J9</f>
        <v>0</v>
      </c>
      <c r="AB9">
        <f>'26-05-2026'!J9</f>
        <v>29</v>
      </c>
      <c r="AC9">
        <f>'25-05-2026 '!J9</f>
        <v>26</v>
      </c>
      <c r="AD9">
        <f>'21-05-2026'!J9</f>
        <v>26</v>
      </c>
      <c r="AE9">
        <f>'20-05-2026'!J9</f>
        <v>27</v>
      </c>
      <c r="AF9">
        <f>'19-05-2026'!J9</f>
        <v>29</v>
      </c>
      <c r="AG9">
        <f>'18-05-2026 '!J9</f>
        <v>27</v>
      </c>
      <c r="AH9" s="58">
        <f>'15-05-2026'!J9</f>
        <v>29</v>
      </c>
      <c r="AI9" s="58">
        <f>'14-05-2026'!J9</f>
        <v>28</v>
      </c>
      <c r="AJ9" s="58">
        <f>'13-05-2026'!J9</f>
        <v>26</v>
      </c>
      <c r="AK9" s="58">
        <f>'12-05-2026'!J9</f>
        <v>28</v>
      </c>
      <c r="AL9" s="58">
        <f>'11-05-2026'!J9</f>
        <v>27</v>
      </c>
      <c r="AM9" s="59">
        <f>'08-05-2026'!J9</f>
        <v>28</v>
      </c>
      <c r="AN9" s="59">
        <f>'07-05-2026'!J9</f>
        <v>27</v>
      </c>
      <c r="AO9" s="59">
        <f>'06-05-2026'!J9</f>
        <v>26</v>
      </c>
      <c r="AP9" s="59">
        <f>'05-05-2026'!J9</f>
        <v>27</v>
      </c>
      <c r="AQ9" s="60">
        <f>'04-05-2026'!J9</f>
        <v>27</v>
      </c>
      <c r="AR9" s="50">
        <f>'24-04-2026'!J9</f>
        <v>32</v>
      </c>
      <c r="AS9" s="50">
        <f>'23-04-2026'!J9</f>
        <v>26</v>
      </c>
      <c r="AT9" s="50">
        <f>'22-04-2026'!J9</f>
        <v>25</v>
      </c>
      <c r="AU9" s="50">
        <f>'21-04-2026'!J9</f>
        <v>26</v>
      </c>
    </row>
    <row r="10" spans="1:53" ht="15.75">
      <c r="A10" s="44" t="s">
        <v>24</v>
      </c>
      <c r="B10" s="41">
        <f>112+137+185</f>
        <v>434</v>
      </c>
      <c r="C10" s="41">
        <f>SUM(I10:EG10)+47+33</f>
        <v>670</v>
      </c>
      <c r="D10" s="45">
        <f t="shared" si="1"/>
        <v>-236</v>
      </c>
      <c r="J10">
        <f>'19-06-2026'!J10</f>
        <v>0</v>
      </c>
      <c r="K10">
        <f>'18-06-2026'!J10</f>
        <v>0</v>
      </c>
      <c r="L10">
        <f>'17-06-2026'!J10</f>
        <v>27</v>
      </c>
      <c r="M10">
        <f>'16-06-2026'!J10</f>
        <v>25</v>
      </c>
      <c r="N10">
        <f>'15-06-2026'!J10</f>
        <v>26</v>
      </c>
      <c r="O10">
        <f>'12-06-2026'!J10</f>
        <v>0</v>
      </c>
      <c r="P10">
        <f>'11-06-2026'!J10</f>
        <v>26</v>
      </c>
      <c r="Q10">
        <f>'10-06-2026'!J10</f>
        <v>0</v>
      </c>
      <c r="R10">
        <f>'09-06-2026'!J10</f>
        <v>24</v>
      </c>
      <c r="S10">
        <f>'08-06-2026'!J10</f>
        <v>28</v>
      </c>
      <c r="T10">
        <f>'05-06-2026'!J10</f>
        <v>0</v>
      </c>
      <c r="U10">
        <f>'04-06-2026'!J10</f>
        <v>25</v>
      </c>
      <c r="V10">
        <f>'03-06-2026'!J10</f>
        <v>25</v>
      </c>
      <c r="W10">
        <f>'02-06-2026'!J10</f>
        <v>29</v>
      </c>
      <c r="X10">
        <f>'01-06-2026'!J10</f>
        <v>0</v>
      </c>
      <c r="Y10">
        <f>'29-05-2026'!J10</f>
        <v>0</v>
      </c>
      <c r="Z10">
        <f>'28-05-2026'!J10</f>
        <v>0</v>
      </c>
      <c r="AA10">
        <f>'27-05-2026'!J10</f>
        <v>0</v>
      </c>
      <c r="AB10">
        <f>'26-05-2026'!J10</f>
        <v>0</v>
      </c>
      <c r="AC10">
        <f>'25-05-2026 '!J10</f>
        <v>26</v>
      </c>
      <c r="AD10">
        <f>'21-05-2026'!J10</f>
        <v>26</v>
      </c>
      <c r="AE10">
        <f>'20-05-2026'!J10</f>
        <v>27</v>
      </c>
      <c r="AF10">
        <f>'19-05-2026'!J10</f>
        <v>0</v>
      </c>
      <c r="AG10">
        <f>'18-05-2026 '!J10</f>
        <v>27</v>
      </c>
      <c r="AH10" s="58">
        <f>'15-05-2026'!J10</f>
        <v>0</v>
      </c>
      <c r="AI10" s="58">
        <f>'14-05-2026'!J10</f>
        <v>28</v>
      </c>
      <c r="AJ10" s="58">
        <f>'13-05-2026'!J10</f>
        <v>0</v>
      </c>
      <c r="AK10" s="58">
        <f>'12-05-2026'!J10</f>
        <v>28</v>
      </c>
      <c r="AL10" s="58">
        <f>'11-05-2026'!J10</f>
        <v>0</v>
      </c>
      <c r="AM10" s="59">
        <f>'08-05-2026'!J10</f>
        <v>28</v>
      </c>
      <c r="AN10" s="59">
        <f>'07-05-2026'!J10</f>
        <v>0</v>
      </c>
      <c r="AO10" s="59">
        <f>'06-05-2026'!J10</f>
        <v>26</v>
      </c>
      <c r="AP10" s="59">
        <f>'05-05-2026'!J10</f>
        <v>27</v>
      </c>
      <c r="AQ10" s="60">
        <f>'04-05-2026'!J10</f>
        <v>27</v>
      </c>
      <c r="AR10" s="50">
        <f>'24-04-2026'!J10</f>
        <v>0</v>
      </c>
      <c r="AS10" s="50">
        <f>'23-04-2026'!J10</f>
        <v>26</v>
      </c>
      <c r="AT10" s="50">
        <f>'22-04-2026'!J10</f>
        <v>33</v>
      </c>
      <c r="AU10" s="50">
        <f>'21-04-2026'!J10</f>
        <v>26</v>
      </c>
    </row>
    <row r="11" spans="1:53" ht="15.75">
      <c r="A11" s="44" t="s">
        <v>25</v>
      </c>
      <c r="B11" s="41">
        <f>106+28+147+82+27</f>
        <v>390</v>
      </c>
      <c r="C11" s="41">
        <f t="shared" si="0"/>
        <v>390</v>
      </c>
      <c r="D11" s="45">
        <f t="shared" si="1"/>
        <v>0</v>
      </c>
      <c r="J11">
        <f>'19-06-2026'!J11</f>
        <v>0</v>
      </c>
      <c r="K11">
        <f>'18-06-2026'!J11</f>
        <v>0</v>
      </c>
      <c r="L11">
        <f>'17-06-2026'!J11</f>
        <v>27</v>
      </c>
      <c r="M11">
        <f>'16-06-2026'!J11</f>
        <v>0</v>
      </c>
      <c r="N11">
        <f>'15-06-2026'!J11</f>
        <v>0</v>
      </c>
      <c r="O11">
        <f>'12-06-2026'!J11</f>
        <v>0</v>
      </c>
      <c r="P11">
        <f>'11-06-2026'!J11</f>
        <v>0</v>
      </c>
      <c r="Q11">
        <f>'10-06-2026'!J11</f>
        <v>0</v>
      </c>
      <c r="R11">
        <f>'09-06-2026'!J11</f>
        <v>0</v>
      </c>
      <c r="S11">
        <f>'08-06-2026'!J11</f>
        <v>0</v>
      </c>
      <c r="T11">
        <f>'05-06-2026'!J11</f>
        <v>0</v>
      </c>
      <c r="U11">
        <f>'04-06-2026'!J11</f>
        <v>0</v>
      </c>
      <c r="V11">
        <f>'03-06-2026'!J11</f>
        <v>0</v>
      </c>
      <c r="W11">
        <f>'02-06-2026'!J11</f>
        <v>0</v>
      </c>
      <c r="X11">
        <f>'01-06-2026'!J11</f>
        <v>0</v>
      </c>
      <c r="Y11">
        <f>'29-05-2026'!J11</f>
        <v>0</v>
      </c>
      <c r="Z11">
        <f>'28-05-2026'!J11</f>
        <v>27</v>
      </c>
      <c r="AA11">
        <f>'27-05-2026'!J11</f>
        <v>0</v>
      </c>
      <c r="AB11">
        <f>'26-05-2026'!J11</f>
        <v>29</v>
      </c>
      <c r="AC11">
        <f>'25-05-2026 '!J11</f>
        <v>26</v>
      </c>
      <c r="AD11">
        <f>'21-05-2026'!J11</f>
        <v>0</v>
      </c>
      <c r="AE11">
        <f>'20-05-2026'!J11</f>
        <v>0</v>
      </c>
      <c r="AF11">
        <f>'19-05-2026'!J11</f>
        <v>0</v>
      </c>
      <c r="AG11">
        <f>'18-05-2026 '!J11</f>
        <v>27</v>
      </c>
      <c r="AH11" s="58">
        <f>'15-05-2026'!J11</f>
        <v>29</v>
      </c>
      <c r="AI11" s="58">
        <f>'14-05-2026'!J11</f>
        <v>0</v>
      </c>
      <c r="AJ11" s="58">
        <f>'13-05-2026'!J11</f>
        <v>36</v>
      </c>
      <c r="AK11" s="58">
        <f>'12-05-2026'!J11</f>
        <v>28</v>
      </c>
      <c r="AL11" s="58">
        <f>'11-05-2026'!J11</f>
        <v>27</v>
      </c>
      <c r="AM11" s="59">
        <f>'08-05-2026'!J11</f>
        <v>28</v>
      </c>
      <c r="AN11" s="59">
        <f>'07-05-2026'!J11</f>
        <v>0</v>
      </c>
      <c r="AO11" s="59">
        <f>'06-05-2026'!J11</f>
        <v>26</v>
      </c>
      <c r="AP11" s="59">
        <f>'05-05-2026'!J11</f>
        <v>27</v>
      </c>
      <c r="AQ11" s="60">
        <f>'04-05-2026'!J11</f>
        <v>27</v>
      </c>
      <c r="AR11" s="50">
        <f>'24-04-2026'!J11</f>
        <v>0</v>
      </c>
      <c r="AS11" s="50">
        <f>'23-04-2026'!J11</f>
        <v>0</v>
      </c>
      <c r="AT11" s="50">
        <f>'22-04-2026'!J11</f>
        <v>0</v>
      </c>
      <c r="AU11" s="50">
        <f>'21-04-2026'!J11</f>
        <v>26</v>
      </c>
    </row>
    <row r="12" spans="1:53" ht="15.75">
      <c r="A12" s="44" t="s">
        <v>26</v>
      </c>
      <c r="B12" s="41">
        <f>0</f>
        <v>0</v>
      </c>
      <c r="C12" s="41">
        <f t="shared" si="0"/>
        <v>211</v>
      </c>
      <c r="D12" s="45">
        <f t="shared" si="1"/>
        <v>-211</v>
      </c>
      <c r="J12">
        <f>'19-06-2026'!J12</f>
        <v>0</v>
      </c>
      <c r="K12">
        <f>'18-06-2026'!J12</f>
        <v>27</v>
      </c>
      <c r="L12">
        <f>'17-06-2026'!J12</f>
        <v>27</v>
      </c>
      <c r="M12">
        <f>'16-06-2026'!J12</f>
        <v>25</v>
      </c>
      <c r="N12">
        <f>'15-06-2026'!J12</f>
        <v>26</v>
      </c>
      <c r="O12">
        <f>'12-06-2026'!J12</f>
        <v>0</v>
      </c>
      <c r="P12">
        <f>'11-06-2026'!J12</f>
        <v>0</v>
      </c>
      <c r="Q12">
        <f>'10-06-2026'!J12</f>
        <v>0</v>
      </c>
      <c r="R12">
        <f>'09-06-2026'!J12</f>
        <v>24</v>
      </c>
      <c r="S12">
        <f>'08-06-2026'!J12</f>
        <v>28</v>
      </c>
      <c r="T12">
        <f>'05-06-2026'!J12</f>
        <v>0</v>
      </c>
      <c r="U12">
        <f>'04-06-2026'!J12</f>
        <v>0</v>
      </c>
      <c r="V12">
        <f>'03-06-2026'!J12</f>
        <v>0</v>
      </c>
      <c r="W12">
        <f>'02-06-2026'!J12</f>
        <v>29</v>
      </c>
      <c r="X12">
        <f>'01-06-2026'!J12</f>
        <v>25</v>
      </c>
      <c r="BA12" s="62"/>
    </row>
    <row r="13" spans="1:53" ht="15.75">
      <c r="A13" s="44"/>
      <c r="B13" s="41"/>
      <c r="C13" s="41"/>
      <c r="D13" s="45"/>
      <c r="BA13" s="61"/>
    </row>
    <row r="14" spans="1:53" ht="15.75">
      <c r="A14" s="44"/>
      <c r="B14" s="41"/>
      <c r="C14" s="41"/>
      <c r="D14" s="45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</row>
    <row r="15" spans="1:53" ht="15.75">
      <c r="A15" s="44"/>
      <c r="B15" s="41"/>
      <c r="C15" s="41"/>
      <c r="D15" s="45"/>
    </row>
    <row r="16" spans="1:53" ht="15.75">
      <c r="A16" s="44"/>
      <c r="B16" s="41"/>
      <c r="C16" s="41"/>
      <c r="D16" s="45"/>
    </row>
    <row r="17" spans="1:47">
      <c r="A17" s="36"/>
      <c r="B17">
        <f t="shared" ref="B17:C17" si="2">SUM(B2:B11)</f>
        <v>7793</v>
      </c>
      <c r="C17">
        <f t="shared" si="2"/>
        <v>7589</v>
      </c>
      <c r="D17">
        <f>SUM(D2:D11)</f>
        <v>204</v>
      </c>
      <c r="J17">
        <f>SUM(J2:J11)</f>
        <v>0</v>
      </c>
      <c r="K17">
        <f>SUM(K2:K11)</f>
        <v>135</v>
      </c>
      <c r="L17">
        <f>SUM(L2:L11)</f>
        <v>189</v>
      </c>
      <c r="M17">
        <f>SUM(M2:M11)</f>
        <v>125</v>
      </c>
      <c r="N17">
        <f>SUM(N2:N11)</f>
        <v>156</v>
      </c>
      <c r="O17">
        <f t="shared" ref="O17:S17" si="3">SUM(O2:O11)</f>
        <v>155</v>
      </c>
      <c r="P17">
        <f t="shared" si="3"/>
        <v>208</v>
      </c>
      <c r="Q17">
        <f t="shared" si="3"/>
        <v>156</v>
      </c>
      <c r="R17">
        <f t="shared" si="3"/>
        <v>144</v>
      </c>
      <c r="S17">
        <f t="shared" si="3"/>
        <v>224</v>
      </c>
      <c r="T17">
        <f t="shared" ref="T17:W17" si="4">SUM(T2:T11)</f>
        <v>142</v>
      </c>
      <c r="U17">
        <f t="shared" si="4"/>
        <v>220</v>
      </c>
      <c r="V17">
        <f t="shared" si="4"/>
        <v>200</v>
      </c>
      <c r="W17">
        <f t="shared" si="4"/>
        <v>242</v>
      </c>
      <c r="X17">
        <f t="shared" ref="X17:AC17" si="5">SUM(X2:X11)</f>
        <v>220</v>
      </c>
      <c r="Y17">
        <f t="shared" si="5"/>
        <v>143</v>
      </c>
      <c r="Z17">
        <f t="shared" si="5"/>
        <v>216</v>
      </c>
      <c r="AA17">
        <f t="shared" si="5"/>
        <v>116</v>
      </c>
      <c r="AB17">
        <f t="shared" si="5"/>
        <v>203</v>
      </c>
      <c r="AC17">
        <f t="shared" si="5"/>
        <v>192</v>
      </c>
      <c r="AD17">
        <f t="shared" ref="AD17:AF17" si="6">SUM(AD2:AD11)</f>
        <v>156</v>
      </c>
      <c r="AE17">
        <f t="shared" si="6"/>
        <v>162</v>
      </c>
      <c r="AF17">
        <f t="shared" si="6"/>
        <v>145</v>
      </c>
      <c r="AG17">
        <f t="shared" ref="AG17:AL17" si="7">SUM(AG2:AG11)</f>
        <v>253</v>
      </c>
      <c r="AH17">
        <f t="shared" si="7"/>
        <v>223</v>
      </c>
      <c r="AI17">
        <f t="shared" si="7"/>
        <v>206</v>
      </c>
      <c r="AJ17">
        <f t="shared" si="7"/>
        <v>186</v>
      </c>
      <c r="AK17">
        <f t="shared" si="7"/>
        <v>252</v>
      </c>
      <c r="AL17">
        <f t="shared" si="7"/>
        <v>199</v>
      </c>
      <c r="AM17">
        <f>SUM(AM2:AM11)</f>
        <v>272</v>
      </c>
      <c r="AN17">
        <f>SUM(AN2:AN11)</f>
        <v>189</v>
      </c>
      <c r="AO17">
        <f t="shared" ref="AN17:AT17" si="8">SUM(AO2:AO11)</f>
        <v>234</v>
      </c>
      <c r="AP17">
        <f t="shared" si="8"/>
        <v>216</v>
      </c>
      <c r="AQ17">
        <f t="shared" si="8"/>
        <v>216</v>
      </c>
      <c r="AR17">
        <f t="shared" si="8"/>
        <v>234</v>
      </c>
      <c r="AS17">
        <f t="shared" si="8"/>
        <v>234</v>
      </c>
      <c r="AT17">
        <f t="shared" si="8"/>
        <v>208</v>
      </c>
      <c r="AU17">
        <f>SUM(AU2:AU11)</f>
        <v>270</v>
      </c>
    </row>
    <row r="23" spans="1:47" ht="14.25" customHeight="1">
      <c r="AU23">
        <f>22*70</f>
        <v>1540</v>
      </c>
    </row>
    <row r="24" spans="1:47" ht="14.25" customHeight="1">
      <c r="AU24">
        <f>27*22</f>
        <v>594</v>
      </c>
    </row>
    <row r="25" spans="1:47" ht="14.25" customHeight="1">
      <c r="AU25">
        <f>AU23-AU24</f>
        <v>946</v>
      </c>
    </row>
    <row r="27" spans="1:47" ht="14.25" customHeight="1">
      <c r="U27" t="s">
        <v>27</v>
      </c>
    </row>
  </sheetData>
  <sheetProtection algorithmName="SHA-512" hashValue="wsprqvOlWsRRxOW0boMVym+Mz7ar4y1qtfm3zfQlMyMsx1glVflf1vH9LkMtC2ADjyHRLoD03P6J3yuOgHVQ/w==" saltValue="Cqf4QpRTuAvVw5yaN61KfA==" spinCount="100000" sheet="1" objects="1" scenarios="1"/>
  <conditionalFormatting sqref="D2:D12">
    <cfRule type="cellIs" dxfId="114" priority="1" operator="equal">
      <formula>0</formula>
    </cfRule>
    <cfRule type="cellIs" dxfId="113" priority="2" operator="lessThan">
      <formula>0</formula>
    </cfRule>
    <cfRule type="cellIs" dxfId="112" priority="3" operator="greaterThan">
      <formula>0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5301-BC36-4077-82FE-1BCADDB78381}">
  <dimension ref="A1:Q24"/>
  <sheetViews>
    <sheetView workbookViewId="0">
      <selection activeCell="A18" sqref="A18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/>
      <c r="D2" s="10"/>
      <c r="E2" s="11" t="b">
        <v>0</v>
      </c>
      <c r="F2" s="12"/>
      <c r="G2" s="13">
        <f>IF(C2&lt;&gt;"", M8, 0)</f>
        <v>0</v>
      </c>
      <c r="H2" s="13"/>
      <c r="I2" s="13"/>
      <c r="J2" s="14">
        <f>SUM(G2:I2)</f>
        <v>0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/>
      <c r="D3" s="9"/>
      <c r="E3" s="11" t="b">
        <v>0</v>
      </c>
      <c r="F3" s="9"/>
      <c r="G3" s="13">
        <f>IF(C3&lt;&gt;"", M8, 0)</f>
        <v>0</v>
      </c>
      <c r="H3" s="13"/>
      <c r="I3" s="13"/>
      <c r="J3" s="14">
        <f>SUM(G3:I3)</f>
        <v>0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64"/>
      <c r="G4" s="13">
        <f>IF(C4&lt;&gt;"", M8, 0)</f>
        <v>0</v>
      </c>
      <c r="H4" s="13"/>
      <c r="I4" s="13">
        <v>10</v>
      </c>
      <c r="J4" s="14">
        <f>SUM(G4:I4)</f>
        <v>10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/>
      <c r="D5" s="9"/>
      <c r="E5" s="11" t="b">
        <v>0</v>
      </c>
      <c r="F5" s="9"/>
      <c r="G5" s="13">
        <f>IF(C5&lt;&gt;"", M8, 0)</f>
        <v>0</v>
      </c>
      <c r="H5" s="13"/>
      <c r="I5" s="13"/>
      <c r="J5" s="14">
        <f>SUM(G5:I5)</f>
        <v>0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/>
      <c r="I6" s="13"/>
      <c r="J6" s="14">
        <f>SUM(G6:I6)</f>
        <v>0</v>
      </c>
      <c r="K6" s="20"/>
      <c r="L6" s="24" t="s">
        <v>37</v>
      </c>
      <c r="M6" s="71">
        <f>COUNTA(C2:C16)</f>
        <v>0</v>
      </c>
      <c r="N6" s="71"/>
      <c r="O6" s="25"/>
    </row>
    <row r="7" spans="1:17" ht="15">
      <c r="A7" s="7">
        <v>6</v>
      </c>
      <c r="B7" s="8" t="s">
        <v>21</v>
      </c>
      <c r="C7" s="9"/>
      <c r="D7" s="9"/>
      <c r="E7" s="11" t="b">
        <v>0</v>
      </c>
      <c r="F7" s="40"/>
      <c r="G7" s="13">
        <f>IF(C7&lt;&gt;"", M8, 0)</f>
        <v>0</v>
      </c>
      <c r="H7" s="13"/>
      <c r="I7" s="13"/>
      <c r="J7" s="14">
        <f>SUM(G7:I7)</f>
        <v>0</v>
      </c>
      <c r="K7" s="20"/>
      <c r="L7" s="26" t="s">
        <v>38</v>
      </c>
      <c r="M7" s="67">
        <f>M19+M20-10</f>
        <v>133</v>
      </c>
      <c r="N7" s="67"/>
      <c r="O7" s="27"/>
    </row>
    <row r="8" spans="1:17" ht="15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IF(C8&lt;&gt;"", M8, 0)</f>
        <v>0</v>
      </c>
      <c r="H8" s="13"/>
      <c r="I8" s="13"/>
      <c r="J8" s="14">
        <f>SUM(G8:I8)</f>
        <v>0</v>
      </c>
      <c r="K8" s="20"/>
      <c r="L8" s="26" t="s">
        <v>39</v>
      </c>
      <c r="M8" s="67" t="e">
        <f>ROUND(M7/M6,0)</f>
        <v>#DIV/0!</v>
      </c>
      <c r="N8" s="67"/>
      <c r="O8" s="21"/>
    </row>
    <row r="9" spans="1:17" ht="15">
      <c r="A9" s="7">
        <v>8</v>
      </c>
      <c r="B9" s="8" t="s">
        <v>23</v>
      </c>
      <c r="C9" s="9"/>
      <c r="D9" s="9"/>
      <c r="E9" s="11" t="b">
        <v>0</v>
      </c>
      <c r="F9" s="9"/>
      <c r="G9" s="13">
        <f>IF(C9&lt;&gt;"", M8, 0)</f>
        <v>0</v>
      </c>
      <c r="H9" s="13"/>
      <c r="J9" s="14">
        <f>SUM(G9:I9)</f>
        <v>0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/>
      <c r="G10" s="13">
        <f>IF(C10&lt;&gt;"", M8, 0)</f>
        <v>0</v>
      </c>
      <c r="H10" s="13"/>
      <c r="I10" s="13"/>
      <c r="J10" s="14">
        <f>SUM(G10:I10)</f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/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/>
      <c r="D12" s="33"/>
      <c r="E12" s="11" t="b">
        <v>0</v>
      </c>
      <c r="F12" s="13"/>
      <c r="G12" s="13">
        <f>IF(C12&lt;&gt;"", M8, 0)</f>
        <v>0</v>
      </c>
      <c r="H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 t="s">
        <v>43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0</v>
      </c>
      <c r="H18" s="20"/>
      <c r="I18" s="20"/>
      <c r="J18" s="35">
        <f>SUM(J2:J16)</f>
        <v>10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0</v>
      </c>
      <c r="F19" s="20"/>
      <c r="G19" s="37"/>
      <c r="H19" s="20"/>
      <c r="I19" s="20"/>
      <c r="J19" s="35"/>
      <c r="K19" s="35"/>
      <c r="L19" s="35" t="s">
        <v>17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>
        <v>143</v>
      </c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65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143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13:E16 D12:E12 C2:E11">
    <cfRule type="notContainsBlanks" dxfId="111" priority="3">
      <formula>LEN(TRIM(C2))&gt;0</formula>
    </cfRule>
    <cfRule type="containsBlanks" dxfId="110" priority="4">
      <formula>LEN(TRIM(C2))=0</formula>
    </cfRule>
  </conditionalFormatting>
  <conditionalFormatting sqref="C12">
    <cfRule type="notContainsBlanks" dxfId="109" priority="1">
      <formula>LEN(TRIM(C12))&gt;0</formula>
    </cfRule>
    <cfRule type="containsBlanks" dxfId="108" priority="2">
      <formula>LEN(TRIM(C12))=0</formula>
    </cfRule>
  </conditionalFormatting>
  <hyperlinks>
    <hyperlink ref="G1" r:id="rId1" xr:uid="{F4DCA37E-8EFC-4679-B09F-01D91B4DA027}"/>
    <hyperlink ref="H1" r:id="rId2" xr:uid="{B74F3A89-C2FC-4709-9E2F-D796D06F058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1928-0470-41CD-9BA9-668B99157A73}">
  <dimension ref="A1:Q24"/>
  <sheetViews>
    <sheetView workbookViewId="0">
      <selection activeCell="F10" sqref="F10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45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/>
      <c r="D2" s="10"/>
      <c r="E2" s="11" t="b">
        <v>0</v>
      </c>
      <c r="F2" s="12"/>
      <c r="G2" s="13">
        <f>IF(C2&lt;&gt;"", M8, 0)</f>
        <v>0</v>
      </c>
      <c r="H2" s="13"/>
      <c r="I2" s="13"/>
      <c r="J2" s="14">
        <f>SUM(G2:I2)</f>
        <v>0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/>
      <c r="D3" s="9"/>
      <c r="E3" s="11" t="b">
        <v>0</v>
      </c>
      <c r="F3" s="9"/>
      <c r="G3" s="13">
        <f>IF(C3&lt;&gt;"", M8, 0)</f>
        <v>0</v>
      </c>
      <c r="H3" s="13"/>
      <c r="I3" s="13"/>
      <c r="J3" s="14">
        <f>SUM(G3:I3)</f>
        <v>0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64"/>
      <c r="G4" s="13">
        <f>IF(C4&lt;&gt;"", M8, 0)</f>
        <v>0</v>
      </c>
      <c r="H4" s="13"/>
      <c r="I4" s="13"/>
      <c r="J4" s="14">
        <f>SUM(G4:I4)</f>
        <v>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/>
      <c r="D5" s="9"/>
      <c r="E5" s="11" t="b">
        <v>0</v>
      </c>
      <c r="F5" s="9"/>
      <c r="G5" s="13">
        <f>IF(C5&lt;&gt;"", M8, 0)</f>
        <v>0</v>
      </c>
      <c r="H5" s="13"/>
      <c r="I5" s="13"/>
      <c r="J5" s="14">
        <f>SUM(G5:I5)</f>
        <v>0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32"/>
      <c r="G6" s="13">
        <f>IF(C6&lt;&gt;"", M8, 0)</f>
        <v>0</v>
      </c>
      <c r="H6" s="13"/>
      <c r="I6" s="13"/>
      <c r="J6" s="14">
        <f>SUM(G6:I6)</f>
        <v>0</v>
      </c>
      <c r="K6" s="20"/>
      <c r="L6" s="24" t="s">
        <v>37</v>
      </c>
      <c r="M6" s="71">
        <f>COUNTA(C2:C16)</f>
        <v>0</v>
      </c>
      <c r="N6" s="71"/>
      <c r="O6" s="25"/>
    </row>
    <row r="7" spans="1:17" ht="15">
      <c r="A7" s="7">
        <v>6</v>
      </c>
      <c r="B7" s="8" t="s">
        <v>21</v>
      </c>
      <c r="C7" s="9"/>
      <c r="D7" s="9"/>
      <c r="E7" s="11" t="b">
        <v>0</v>
      </c>
      <c r="F7" s="40"/>
      <c r="G7" s="13">
        <f>IF(C7&lt;&gt;"", M9, 0)</f>
        <v>0</v>
      </c>
      <c r="H7" s="13"/>
      <c r="I7" s="13"/>
      <c r="J7" s="14">
        <f>SUM(G7:I7)</f>
        <v>0</v>
      </c>
      <c r="K7" s="20"/>
      <c r="L7" s="26" t="s">
        <v>38</v>
      </c>
      <c r="M7" s="67">
        <f>M19+M20</f>
        <v>0</v>
      </c>
      <c r="N7" s="67"/>
      <c r="O7" s="27"/>
    </row>
    <row r="8" spans="1:17" ht="15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IF(C7&lt;&gt;"", M8, 0)</f>
        <v>0</v>
      </c>
      <c r="H8" s="13"/>
      <c r="I8" s="13"/>
      <c r="J8" s="14">
        <f>SUM(G8:I8)</f>
        <v>0</v>
      </c>
      <c r="K8" s="20"/>
      <c r="L8" s="26" t="s">
        <v>39</v>
      </c>
      <c r="M8" s="67" t="e">
        <f>ROUND(M7/M6,0)</f>
        <v>#DIV/0!</v>
      </c>
      <c r="N8" s="67"/>
      <c r="O8" s="21"/>
    </row>
    <row r="9" spans="1:17" ht="15">
      <c r="A9" s="7">
        <v>8</v>
      </c>
      <c r="B9" s="8" t="s">
        <v>23</v>
      </c>
      <c r="C9" s="9"/>
      <c r="D9" s="9"/>
      <c r="E9" s="11" t="b">
        <v>0</v>
      </c>
      <c r="F9" s="9"/>
      <c r="G9" s="13">
        <f>IF(C9&lt;&gt;"", M8, 0)</f>
        <v>0</v>
      </c>
      <c r="H9" s="13"/>
      <c r="J9" s="14">
        <f>SUM(G9:I9)</f>
        <v>0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/>
      <c r="G10" s="13">
        <f>IF(C10&lt;&gt;"", M8, 0)</f>
        <v>0</v>
      </c>
      <c r="H10" s="13"/>
      <c r="I10" s="13"/>
      <c r="J10" s="14">
        <f>SUM(G10:I10)</f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/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/>
      <c r="D12" s="33"/>
      <c r="E12" s="11" t="b">
        <v>0</v>
      </c>
      <c r="F12" s="13"/>
      <c r="G12" s="13">
        <f>IF(C12&lt;&gt;"", M8, 0)</f>
        <v>0</v>
      </c>
      <c r="H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0</v>
      </c>
      <c r="H18" s="20"/>
      <c r="I18" s="20"/>
      <c r="J18" s="35">
        <f>SUM(J2:J16)</f>
        <v>0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0</v>
      </c>
      <c r="F19" s="20"/>
      <c r="G19" s="37"/>
      <c r="H19" s="20"/>
      <c r="I19" s="20"/>
      <c r="J19" s="35"/>
      <c r="K19" s="35"/>
      <c r="L19" s="35" t="s">
        <v>17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65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13:E16 D12 C2:E2 E3:E12 C3:D11">
    <cfRule type="notContainsBlanks" dxfId="107" priority="3">
      <formula>LEN(TRIM(C2))&gt;0</formula>
    </cfRule>
    <cfRule type="containsBlanks" dxfId="106" priority="4">
      <formula>LEN(TRIM(C2))=0</formula>
    </cfRule>
  </conditionalFormatting>
  <conditionalFormatting sqref="C12">
    <cfRule type="notContainsBlanks" dxfId="105" priority="1">
      <formula>LEN(TRIM(C12))&gt;0</formula>
    </cfRule>
    <cfRule type="containsBlanks" dxfId="104" priority="2">
      <formula>LEN(TRIM(C12))=0</formula>
    </cfRule>
  </conditionalFormatting>
  <hyperlinks>
    <hyperlink ref="G1" r:id="rId1" xr:uid="{F4F3FB77-958A-4E7A-95B0-DF7C9142748A}"/>
    <hyperlink ref="H1" r:id="rId2" xr:uid="{0B0E89E1-6BBD-48AE-B272-1A4EFBE1295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6FC9-9CAF-43C9-97C4-9B67CE03E048}">
  <dimension ref="A1:Q24"/>
  <sheetViews>
    <sheetView workbookViewId="0">
      <selection activeCell="C10" sqref="C10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45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46</v>
      </c>
      <c r="D2" s="10"/>
      <c r="E2" s="11" t="b">
        <v>1</v>
      </c>
      <c r="F2" s="12"/>
      <c r="G2" s="13">
        <f>IF(C2&lt;&gt;"", M8, 0)</f>
        <v>27</v>
      </c>
      <c r="H2" s="13"/>
      <c r="I2" s="13"/>
      <c r="J2" s="14">
        <f>SUM(G2:I2)</f>
        <v>27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47</v>
      </c>
      <c r="D3" s="9"/>
      <c r="E3" s="11" t="b">
        <v>1</v>
      </c>
      <c r="F3" s="9"/>
      <c r="G3" s="13">
        <f>IF(C3&lt;&gt;"", M8, 0)</f>
        <v>27</v>
      </c>
      <c r="H3" s="13"/>
      <c r="I3" s="13"/>
      <c r="J3" s="14">
        <f>SUM(G3:I3)</f>
        <v>27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64"/>
      <c r="G4" s="13">
        <f>IF(C4&lt;&gt;"", M8, 0)</f>
        <v>0</v>
      </c>
      <c r="H4" s="13"/>
      <c r="I4" s="13"/>
      <c r="J4" s="14">
        <f>SUM(G4:I4)</f>
        <v>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48</v>
      </c>
      <c r="D5" s="9"/>
      <c r="E5" s="11" t="b">
        <v>1</v>
      </c>
      <c r="F5" s="9"/>
      <c r="G5" s="13">
        <f>IF(C5&lt;&gt;"", M8, 0)</f>
        <v>27</v>
      </c>
      <c r="H5" s="13"/>
      <c r="I5" s="13"/>
      <c r="J5" s="14">
        <f>SUM(G5:I5)</f>
        <v>27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32"/>
      <c r="G6" s="13">
        <f>IF(C6&lt;&gt;"", M8, 0)</f>
        <v>0</v>
      </c>
      <c r="H6" s="13"/>
      <c r="I6" s="13"/>
      <c r="J6" s="14">
        <f>SUM(G6:I6)</f>
        <v>0</v>
      </c>
      <c r="K6" s="20"/>
      <c r="L6" s="24" t="s">
        <v>37</v>
      </c>
      <c r="M6" s="71">
        <f>COUNTA(C2:C16)</f>
        <v>7</v>
      </c>
      <c r="N6" s="71"/>
      <c r="O6" s="25"/>
    </row>
    <row r="7" spans="1:17" ht="15">
      <c r="A7" s="7">
        <v>6</v>
      </c>
      <c r="B7" s="8" t="s">
        <v>21</v>
      </c>
      <c r="C7" s="9" t="s">
        <v>49</v>
      </c>
      <c r="D7" s="9"/>
      <c r="E7" s="11" t="b">
        <v>1</v>
      </c>
      <c r="F7" s="40"/>
      <c r="G7" s="13">
        <f>IF(C7&lt;&gt;"", M9, 0)</f>
        <v>0</v>
      </c>
      <c r="H7" s="13"/>
      <c r="I7" s="13"/>
      <c r="J7" s="14">
        <f>SUM(G7:I7)</f>
        <v>0</v>
      </c>
      <c r="K7" s="20"/>
      <c r="L7" s="26" t="s">
        <v>38</v>
      </c>
      <c r="M7" s="67">
        <f>M19+M20</f>
        <v>191</v>
      </c>
      <c r="N7" s="67"/>
      <c r="O7" s="27"/>
    </row>
    <row r="8" spans="1:17" ht="15">
      <c r="A8" s="7">
        <v>7</v>
      </c>
      <c r="B8" s="8" t="s">
        <v>22</v>
      </c>
      <c r="C8" s="9" t="s">
        <v>50</v>
      </c>
      <c r="D8" s="9"/>
      <c r="E8" s="11" t="b">
        <v>1</v>
      </c>
      <c r="F8" s="9"/>
      <c r="G8" s="13">
        <f>IF(C7&lt;&gt;"", M8, 0)</f>
        <v>27</v>
      </c>
      <c r="H8" s="13"/>
      <c r="I8" s="13"/>
      <c r="J8" s="14">
        <f>SUM(G8:I8)</f>
        <v>27</v>
      </c>
      <c r="K8" s="20"/>
      <c r="L8" s="26" t="s">
        <v>39</v>
      </c>
      <c r="M8" s="67">
        <f>ROUND(M7/M6,0)</f>
        <v>27</v>
      </c>
      <c r="N8" s="67"/>
      <c r="O8" s="21"/>
    </row>
    <row r="9" spans="1:17" ht="15">
      <c r="A9" s="7">
        <v>8</v>
      </c>
      <c r="B9" s="8" t="s">
        <v>23</v>
      </c>
      <c r="C9" s="9" t="s">
        <v>51</v>
      </c>
      <c r="D9" s="9"/>
      <c r="E9" s="11" t="b">
        <v>1</v>
      </c>
      <c r="F9" s="9"/>
      <c r="G9" s="13">
        <f>IF(C9&lt;&gt;"", M8, 0)</f>
        <v>27</v>
      </c>
      <c r="H9" s="13"/>
      <c r="J9" s="14">
        <f>SUM(G9:I9)</f>
        <v>27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 t="s">
        <v>52</v>
      </c>
      <c r="G10" s="13">
        <f>IF(C10&lt;&gt;"", M8, 0)</f>
        <v>0</v>
      </c>
      <c r="H10" s="13"/>
      <c r="I10" s="13"/>
      <c r="J10" s="14">
        <f>SUM(G10:I10)</f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/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 t="s">
        <v>53</v>
      </c>
      <c r="D12" s="33"/>
      <c r="E12" s="11" t="b">
        <v>1</v>
      </c>
      <c r="F12" s="13"/>
      <c r="G12" s="13">
        <f>IF(C12&lt;&gt;"", M8, 0)</f>
        <v>27</v>
      </c>
      <c r="H12" s="13"/>
      <c r="J12" s="14">
        <f>SUM(G12:I12)</f>
        <v>27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162</v>
      </c>
      <c r="H18" s="20"/>
      <c r="I18" s="20"/>
      <c r="J18" s="35">
        <f>SUM(J2:J16)</f>
        <v>162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7</v>
      </c>
      <c r="F19" s="20"/>
      <c r="G19" s="37"/>
      <c r="H19" s="20"/>
      <c r="I19" s="20"/>
      <c r="J19" s="35"/>
      <c r="K19" s="35"/>
      <c r="L19" s="35" t="s">
        <v>17</v>
      </c>
      <c r="M19">
        <v>191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65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13:E16 D12 C2:E2 E3:E12 C3:D11">
    <cfRule type="notContainsBlanks" dxfId="103" priority="5">
      <formula>LEN(TRIM(C2))&gt;0</formula>
    </cfRule>
    <cfRule type="containsBlanks" dxfId="102" priority="6">
      <formula>LEN(TRIM(C2))=0</formula>
    </cfRule>
  </conditionalFormatting>
  <conditionalFormatting sqref="C12">
    <cfRule type="notContainsBlanks" dxfId="101" priority="1">
      <formula>LEN(TRIM(C12))&gt;0</formula>
    </cfRule>
    <cfRule type="containsBlanks" dxfId="100" priority="2">
      <formula>LEN(TRIM(C12))=0</formula>
    </cfRule>
  </conditionalFormatting>
  <hyperlinks>
    <hyperlink ref="G1" r:id="rId1" xr:uid="{4087FC05-DE99-427D-BF52-0BFBA2999D92}"/>
    <hyperlink ref="H1" r:id="rId2" xr:uid="{E257ED80-FEF1-4025-86CC-39E75194A11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136D-2A8E-493C-B665-4C626AA2BA69}">
  <dimension ref="A1:Q24"/>
  <sheetViews>
    <sheetView workbookViewId="0">
      <selection activeCell="E28" sqref="E28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54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55</v>
      </c>
      <c r="D2" s="10"/>
      <c r="E2" s="11" t="b">
        <v>1</v>
      </c>
      <c r="F2" s="12"/>
      <c r="G2" s="13">
        <f>IF(C2&lt;&gt;"", M8, 0)</f>
        <v>27</v>
      </c>
      <c r="H2" s="13"/>
      <c r="I2" s="13"/>
      <c r="J2" s="14">
        <f>SUM(G2:I2)</f>
        <v>27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56</v>
      </c>
      <c r="D3" s="9"/>
      <c r="E3" s="11" t="b">
        <v>1</v>
      </c>
      <c r="F3" s="9"/>
      <c r="G3" s="13">
        <f>IF(C3&lt;&gt;"", M8, 0)</f>
        <v>27</v>
      </c>
      <c r="H3" s="13"/>
      <c r="I3" s="13"/>
      <c r="J3" s="14">
        <f>SUM(G3:I3)</f>
        <v>27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64"/>
      <c r="G4" s="13">
        <f>IF(C4&lt;&gt;"", M8, 0)</f>
        <v>0</v>
      </c>
      <c r="H4" s="13"/>
      <c r="I4" s="13"/>
      <c r="J4" s="14">
        <f>SUM(G4:I4)</f>
        <v>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57</v>
      </c>
      <c r="D5" s="9"/>
      <c r="E5" s="11" t="b">
        <v>1</v>
      </c>
      <c r="F5" s="9"/>
      <c r="G5" s="13">
        <f>IF(C5&lt;&gt;"", M8, 0)</f>
        <v>27</v>
      </c>
      <c r="H5" s="13"/>
      <c r="I5" s="13"/>
      <c r="J5" s="14">
        <f>SUM(G5:I5)</f>
        <v>27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 t="s">
        <v>58</v>
      </c>
      <c r="D6" s="9"/>
      <c r="E6" s="11" t="b">
        <v>1</v>
      </c>
      <c r="F6" s="32" t="s">
        <v>59</v>
      </c>
      <c r="G6" s="13">
        <f>IF(C6&lt;&gt;"", M8, 0)</f>
        <v>27</v>
      </c>
      <c r="H6" s="13"/>
      <c r="I6" s="13"/>
      <c r="J6" s="14">
        <f>SUM(G6:I6)</f>
        <v>27</v>
      </c>
      <c r="K6" s="20"/>
      <c r="L6" s="24" t="s">
        <v>37</v>
      </c>
      <c r="M6" s="71">
        <f>COUNTA(C2:C16)</f>
        <v>9</v>
      </c>
      <c r="N6" s="71"/>
      <c r="O6" s="25"/>
    </row>
    <row r="7" spans="1:17" ht="15">
      <c r="A7" s="7">
        <v>6</v>
      </c>
      <c r="B7" s="8" t="s">
        <v>21</v>
      </c>
      <c r="C7" s="9"/>
      <c r="D7" s="9"/>
      <c r="E7" s="11" t="b">
        <v>0</v>
      </c>
      <c r="F7" s="40"/>
      <c r="G7" s="13">
        <f>IF(C7&lt;&gt;"", M9, 0)</f>
        <v>0</v>
      </c>
      <c r="H7" s="13"/>
      <c r="I7" s="13"/>
      <c r="J7" s="14">
        <f>SUM(G7:I7)</f>
        <v>0</v>
      </c>
      <c r="K7" s="20"/>
      <c r="L7" s="26" t="s">
        <v>38</v>
      </c>
      <c r="M7" s="67">
        <f>M19+M20</f>
        <v>239</v>
      </c>
      <c r="N7" s="67"/>
      <c r="O7" s="27"/>
    </row>
    <row r="8" spans="1:17" ht="15">
      <c r="A8" s="7">
        <v>7</v>
      </c>
      <c r="B8" s="8" t="s">
        <v>22</v>
      </c>
      <c r="C8" s="9" t="s">
        <v>60</v>
      </c>
      <c r="D8" s="9"/>
      <c r="E8" s="11" t="b">
        <v>1</v>
      </c>
      <c r="F8" s="9"/>
      <c r="G8" s="13">
        <f>IF(C7&lt;&gt;"", M8, 0)</f>
        <v>0</v>
      </c>
      <c r="H8" s="13"/>
      <c r="I8" s="13"/>
      <c r="J8" s="14">
        <f>SUM(G8:I8)</f>
        <v>0</v>
      </c>
      <c r="K8" s="20"/>
      <c r="L8" s="26" t="s">
        <v>39</v>
      </c>
      <c r="M8" s="67">
        <f>ROUND(M7/M6,0)</f>
        <v>27</v>
      </c>
      <c r="N8" s="67"/>
      <c r="O8" s="21"/>
    </row>
    <row r="9" spans="1:17" ht="15">
      <c r="A9" s="7">
        <v>8</v>
      </c>
      <c r="B9" s="8" t="s">
        <v>23</v>
      </c>
      <c r="C9" s="9" t="s">
        <v>9</v>
      </c>
      <c r="D9" s="9"/>
      <c r="E9" s="11" t="b">
        <v>1</v>
      </c>
      <c r="F9" s="9"/>
      <c r="G9" s="13">
        <f>IF(C9&lt;&gt;"", M8, 0)</f>
        <v>27</v>
      </c>
      <c r="H9" s="13"/>
      <c r="J9" s="14">
        <f>SUM(G9:I9)</f>
        <v>27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58</v>
      </c>
      <c r="D10" s="9"/>
      <c r="E10" s="11" t="b">
        <v>1</v>
      </c>
      <c r="F10" s="32" t="s">
        <v>59</v>
      </c>
      <c r="G10" s="13">
        <f>IF(C10&lt;&gt;"", M8, 0)</f>
        <v>27</v>
      </c>
      <c r="H10" s="13"/>
      <c r="I10" s="13"/>
      <c r="J10" s="14">
        <f>SUM(G10:I10)</f>
        <v>27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 t="s">
        <v>61</v>
      </c>
      <c r="D11" s="9"/>
      <c r="E11" s="11" t="b">
        <v>1</v>
      </c>
      <c r="F11" s="9"/>
      <c r="G11" s="13">
        <f>IF(C11&lt;&gt;"", M8, 0)</f>
        <v>27</v>
      </c>
      <c r="H11" s="13"/>
      <c r="I11" s="13"/>
      <c r="J11" s="14">
        <f>SUM(G11:I11)</f>
        <v>27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 t="s">
        <v>53</v>
      </c>
      <c r="D12" s="33"/>
      <c r="E12" s="11" t="b">
        <v>1</v>
      </c>
      <c r="F12" s="13"/>
      <c r="G12" s="13">
        <f>IF(C12&lt;&gt;"", M8, 0)</f>
        <v>27</v>
      </c>
      <c r="H12" s="13"/>
      <c r="J12" s="14">
        <f>SUM(G12:I12)</f>
        <v>27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216</v>
      </c>
      <c r="H18" s="20"/>
      <c r="I18" s="20"/>
      <c r="J18" s="35">
        <f>SUM(J2:J16)</f>
        <v>216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9</v>
      </c>
      <c r="F19" s="20"/>
      <c r="G19" s="37"/>
      <c r="H19" s="20"/>
      <c r="I19" s="20"/>
      <c r="J19" s="35"/>
      <c r="K19" s="35"/>
      <c r="L19" s="35" t="s">
        <v>17</v>
      </c>
      <c r="M19">
        <v>239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65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13:E16 D12 C2:E2 E3:E12 C3:D11">
    <cfRule type="notContainsBlanks" dxfId="99" priority="5">
      <formula>LEN(TRIM(C2))&gt;0</formula>
    </cfRule>
    <cfRule type="containsBlanks" dxfId="98" priority="6">
      <formula>LEN(TRIM(C2))=0</formula>
    </cfRule>
  </conditionalFormatting>
  <conditionalFormatting sqref="C12">
    <cfRule type="notContainsBlanks" dxfId="97" priority="3">
      <formula>LEN(TRIM(C12))&gt;0</formula>
    </cfRule>
    <cfRule type="containsBlanks" dxfId="96" priority="4">
      <formula>LEN(TRIM(C12))=0</formula>
    </cfRule>
  </conditionalFormatting>
  <hyperlinks>
    <hyperlink ref="G1" r:id="rId1" xr:uid="{24E4968B-548B-484A-AD6D-5042B4C9CD9F}"/>
    <hyperlink ref="H1" r:id="rId2" xr:uid="{9E552CD9-5984-4436-A000-CAF54ABD680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82C8-C335-44B5-A350-A5EB0DDD06EF}">
  <dimension ref="A1:Q24"/>
  <sheetViews>
    <sheetView workbookViewId="0">
      <selection activeCell="F26" sqref="F26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63</v>
      </c>
      <c r="D2" s="10"/>
      <c r="E2" s="11" t="b">
        <v>1</v>
      </c>
      <c r="F2" s="12"/>
      <c r="G2" s="13">
        <f>IF(C2&lt;&gt;"", M8, 0)</f>
        <v>25</v>
      </c>
      <c r="H2" s="13"/>
      <c r="I2" s="13"/>
      <c r="J2" s="14">
        <f>SUM(G2:I2)</f>
        <v>25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63</v>
      </c>
      <c r="D3" s="9"/>
      <c r="E3" s="11" t="b">
        <v>1</v>
      </c>
      <c r="F3" s="9"/>
      <c r="G3" s="13">
        <f>IF(C3&lt;&gt;"", M8, 0)</f>
        <v>25</v>
      </c>
      <c r="H3" s="13"/>
      <c r="I3" s="13"/>
      <c r="J3" s="14">
        <f>SUM(G3:I3)</f>
        <v>25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64"/>
      <c r="G4" s="13">
        <f>IF(C4&lt;&gt;"", M8, 0)</f>
        <v>0</v>
      </c>
      <c r="H4" s="13"/>
      <c r="I4" s="13"/>
      <c r="J4" s="14">
        <f>SUM(G4:I4)</f>
        <v>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57</v>
      </c>
      <c r="D5" s="9"/>
      <c r="E5" s="11" t="b">
        <v>1</v>
      </c>
      <c r="F5" s="9"/>
      <c r="G5" s="13">
        <f>IF(C5&lt;&gt;"", M8, 0)</f>
        <v>25</v>
      </c>
      <c r="H5" s="13"/>
      <c r="I5" s="13"/>
      <c r="J5" s="14">
        <f>SUM(G5:I5)</f>
        <v>25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/>
      <c r="I6" s="13"/>
      <c r="J6" s="14">
        <f>SUM(G6:I6)</f>
        <v>0</v>
      </c>
      <c r="K6" s="20"/>
      <c r="L6" s="24" t="s">
        <v>37</v>
      </c>
      <c r="M6" s="71">
        <f>COUNTA(C2:C16)</f>
        <v>7</v>
      </c>
      <c r="N6" s="71"/>
      <c r="O6" s="25"/>
    </row>
    <row r="7" spans="1:17" ht="15">
      <c r="A7" s="7">
        <v>6</v>
      </c>
      <c r="B7" s="8" t="s">
        <v>21</v>
      </c>
      <c r="C7" s="9"/>
      <c r="D7" s="9"/>
      <c r="E7" s="11" t="b">
        <v>0</v>
      </c>
      <c r="F7" s="40"/>
      <c r="G7" s="13">
        <f>IF(C7&lt;&gt;"", M9, 0)</f>
        <v>0</v>
      </c>
      <c r="H7" s="13"/>
      <c r="I7" s="13"/>
      <c r="J7" s="14">
        <f>SUM(G7:I7)</f>
        <v>0</v>
      </c>
      <c r="K7" s="20"/>
      <c r="L7" s="26" t="s">
        <v>38</v>
      </c>
      <c r="M7" s="67">
        <f>M19+M20</f>
        <v>173</v>
      </c>
      <c r="N7" s="67"/>
      <c r="O7" s="27"/>
    </row>
    <row r="8" spans="1:17" ht="15">
      <c r="A8" s="7">
        <v>7</v>
      </c>
      <c r="B8" s="8" t="s">
        <v>22</v>
      </c>
      <c r="C8" s="9" t="s">
        <v>64</v>
      </c>
      <c r="D8" s="9"/>
      <c r="E8" s="11" t="b">
        <v>1</v>
      </c>
      <c r="F8" s="9"/>
      <c r="G8" s="13">
        <f>IF(C7&lt;&gt;"", M8, 0)</f>
        <v>0</v>
      </c>
      <c r="H8" s="13"/>
      <c r="I8" s="13"/>
      <c r="J8" s="14">
        <f>SUM(G8:I8)</f>
        <v>0</v>
      </c>
      <c r="K8" s="20"/>
      <c r="L8" s="26" t="s">
        <v>39</v>
      </c>
      <c r="M8" s="67">
        <f>ROUND(M7/M6,0)</f>
        <v>25</v>
      </c>
      <c r="N8" s="67"/>
      <c r="O8" s="21"/>
    </row>
    <row r="9" spans="1:17" ht="15">
      <c r="A9" s="7">
        <v>8</v>
      </c>
      <c r="B9" s="8" t="s">
        <v>23</v>
      </c>
      <c r="C9" s="9" t="s">
        <v>65</v>
      </c>
      <c r="D9" s="9"/>
      <c r="E9" s="11" t="b">
        <v>1</v>
      </c>
      <c r="F9" s="9" t="s">
        <v>66</v>
      </c>
      <c r="G9" s="13">
        <f>IF(C9&lt;&gt;"", M8, 0)</f>
        <v>25</v>
      </c>
      <c r="H9" s="13"/>
      <c r="J9" s="14">
        <f>SUM(G9:I9)</f>
        <v>25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67</v>
      </c>
      <c r="D10" s="9"/>
      <c r="E10" s="11" t="b">
        <v>1</v>
      </c>
      <c r="F10" s="32" t="s">
        <v>68</v>
      </c>
      <c r="G10" s="13">
        <f>IF(C10&lt;&gt;"", M8, 0)</f>
        <v>25</v>
      </c>
      <c r="H10" s="13"/>
      <c r="I10" s="13"/>
      <c r="J10" s="14">
        <f>SUM(G10:I10)</f>
        <v>25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/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 t="s">
        <v>69</v>
      </c>
      <c r="D12" s="33"/>
      <c r="E12" s="11" t="b">
        <v>1</v>
      </c>
      <c r="F12" s="13"/>
      <c r="G12" s="13">
        <f>IF(C12&lt;&gt;"", M8, 0)</f>
        <v>25</v>
      </c>
      <c r="H12" s="13"/>
      <c r="J12" s="14">
        <f>SUM(G12:I12)</f>
        <v>25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150</v>
      </c>
      <c r="H18" s="20"/>
      <c r="I18" s="20"/>
      <c r="J18" s="35">
        <f>SUM(J2:J16)</f>
        <v>150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7</v>
      </c>
      <c r="F19" s="20"/>
      <c r="G19" s="37"/>
      <c r="H19" s="20"/>
      <c r="I19" s="20"/>
      <c r="J19" s="35"/>
      <c r="K19" s="35"/>
      <c r="L19" s="35" t="s">
        <v>17</v>
      </c>
      <c r="M19">
        <v>173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65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13:E16 D12 C2:E2 E3:E12 D6 C3:D5 C7:D11">
    <cfRule type="notContainsBlanks" dxfId="95" priority="5">
      <formula>LEN(TRIM(C2))&gt;0</formula>
    </cfRule>
    <cfRule type="containsBlanks" dxfId="94" priority="6">
      <formula>LEN(TRIM(C2))=0</formula>
    </cfRule>
  </conditionalFormatting>
  <conditionalFormatting sqref="C12">
    <cfRule type="notContainsBlanks" dxfId="93" priority="3">
      <formula>LEN(TRIM(C12))&gt;0</formula>
    </cfRule>
    <cfRule type="containsBlanks" dxfId="92" priority="4">
      <formula>LEN(TRIM(C12))=0</formula>
    </cfRule>
  </conditionalFormatting>
  <conditionalFormatting sqref="C6">
    <cfRule type="notContainsBlanks" dxfId="91" priority="1">
      <formula>LEN(TRIM(C6))&gt;0</formula>
    </cfRule>
    <cfRule type="containsBlanks" dxfId="90" priority="2">
      <formula>LEN(TRIM(C6))=0</formula>
    </cfRule>
  </conditionalFormatting>
  <hyperlinks>
    <hyperlink ref="G1" r:id="rId1" xr:uid="{B5F4B1B1-BD36-4776-90EC-D809AFDB1C9A}"/>
    <hyperlink ref="H1" r:id="rId2" xr:uid="{89C92479-F701-4A35-A516-6CA6C8E2253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23DB2-E216-4B83-917E-703B6E9260EA}">
  <dimension ref="A1:Q24"/>
  <sheetViews>
    <sheetView workbookViewId="0">
      <selection activeCell="C5" sqref="C5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70</v>
      </c>
      <c r="D2" s="10"/>
      <c r="E2" s="11" t="b">
        <v>0</v>
      </c>
      <c r="F2" s="12"/>
      <c r="G2" s="13">
        <f>IF(C2&lt;&gt;"", M8, 0)</f>
        <v>26</v>
      </c>
      <c r="H2" s="13"/>
      <c r="I2" s="13"/>
      <c r="J2" s="14">
        <f>SUM(G2:I2)</f>
        <v>26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/>
      <c r="D3" s="9"/>
      <c r="E3" s="11" t="b">
        <v>0</v>
      </c>
      <c r="F3" s="9"/>
      <c r="G3" s="13">
        <f>IF(C3&lt;&gt;"", M8, 0)</f>
        <v>0</v>
      </c>
      <c r="H3" s="13"/>
      <c r="I3" s="13"/>
      <c r="J3" s="14">
        <f>SUM(G3:I3)</f>
        <v>0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64"/>
      <c r="G4" s="13">
        <f>IF(C4&lt;&gt;"", M8, 0)</f>
        <v>0</v>
      </c>
      <c r="H4" s="13"/>
      <c r="I4" s="13"/>
      <c r="J4" s="14">
        <f>SUM(G4:I4)</f>
        <v>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71</v>
      </c>
      <c r="D5" s="9"/>
      <c r="E5" s="11" t="b">
        <v>0</v>
      </c>
      <c r="F5" s="9"/>
      <c r="G5" s="13">
        <f>IF(C5&lt;&gt;"", M8, 0)</f>
        <v>26</v>
      </c>
      <c r="H5" s="13"/>
      <c r="I5" s="13"/>
      <c r="J5" s="14">
        <f>SUM(G5:I5)</f>
        <v>26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 t="s">
        <v>64</v>
      </c>
      <c r="D6" s="9"/>
      <c r="E6" s="11" t="b">
        <v>0</v>
      </c>
      <c r="F6" s="23"/>
      <c r="G6" s="13">
        <f>IF(C6&lt;&gt;"", M8, 0)</f>
        <v>26</v>
      </c>
      <c r="H6" s="13"/>
      <c r="I6" s="13"/>
      <c r="J6" s="14">
        <f>SUM(G6:I6)</f>
        <v>26</v>
      </c>
      <c r="K6" s="20"/>
      <c r="L6" s="24" t="s">
        <v>37</v>
      </c>
      <c r="M6" s="71">
        <f>COUNTA(C2:C16)</f>
        <v>7</v>
      </c>
      <c r="N6" s="71"/>
      <c r="O6" s="25"/>
    </row>
    <row r="7" spans="1:17" ht="15">
      <c r="A7" s="7">
        <v>6</v>
      </c>
      <c r="B7" s="8" t="s">
        <v>21</v>
      </c>
      <c r="C7" s="9" t="s">
        <v>72</v>
      </c>
      <c r="D7" s="9"/>
      <c r="E7" s="11" t="b">
        <v>0</v>
      </c>
      <c r="F7" s="40"/>
      <c r="G7" s="13">
        <f>IF(C7&lt;&gt;"", M9, 0)</f>
        <v>0</v>
      </c>
      <c r="H7" s="13"/>
      <c r="I7" s="13"/>
      <c r="J7" s="14">
        <f>SUM(G7:I7)</f>
        <v>0</v>
      </c>
      <c r="K7" s="20"/>
      <c r="L7" s="26" t="s">
        <v>38</v>
      </c>
      <c r="M7" s="67">
        <f>M19+M20</f>
        <v>185</v>
      </c>
      <c r="N7" s="67"/>
      <c r="O7" s="27"/>
    </row>
    <row r="8" spans="1:17" ht="15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IF(C7&lt;&gt;"", M8, 0)</f>
        <v>26</v>
      </c>
      <c r="H8" s="13"/>
      <c r="I8" s="13"/>
      <c r="J8" s="14">
        <f>SUM(G8:I8)</f>
        <v>26</v>
      </c>
      <c r="K8" s="20"/>
      <c r="L8" s="26" t="s">
        <v>39</v>
      </c>
      <c r="M8" s="67">
        <f>ROUND(M7/M6,0)</f>
        <v>26</v>
      </c>
      <c r="N8" s="67"/>
      <c r="O8" s="21"/>
    </row>
    <row r="9" spans="1:17" ht="15">
      <c r="A9" s="7">
        <v>8</v>
      </c>
      <c r="B9" s="8" t="s">
        <v>23</v>
      </c>
      <c r="C9" s="9" t="s">
        <v>73</v>
      </c>
      <c r="D9" s="9"/>
      <c r="E9" s="11" t="b">
        <v>0</v>
      </c>
      <c r="F9" s="9" t="s">
        <v>66</v>
      </c>
      <c r="G9" s="13">
        <f>IF(C9&lt;&gt;"", M8, 0)</f>
        <v>26</v>
      </c>
      <c r="H9" s="13"/>
      <c r="J9" s="14">
        <f>SUM(G9:I9)</f>
        <v>26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74</v>
      </c>
      <c r="D10" s="9"/>
      <c r="E10" s="11" t="b">
        <v>0</v>
      </c>
      <c r="F10" s="32"/>
      <c r="G10" s="13">
        <f>IF(C10&lt;&gt;"", M8, 0)</f>
        <v>26</v>
      </c>
      <c r="H10" s="13"/>
      <c r="I10" s="13"/>
      <c r="J10" s="14">
        <f>SUM(G10:I10)</f>
        <v>26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/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 t="s">
        <v>72</v>
      </c>
      <c r="D12" s="33"/>
      <c r="E12" s="11" t="b">
        <v>0</v>
      </c>
      <c r="F12" s="13"/>
      <c r="G12" s="13">
        <f>IF(C12&lt;&gt;"", M8, 0)</f>
        <v>26</v>
      </c>
      <c r="H12" s="13"/>
      <c r="J12" s="14">
        <f>SUM(G12:I12)</f>
        <v>26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182</v>
      </c>
      <c r="H18" s="20"/>
      <c r="I18" s="20"/>
      <c r="J18" s="35">
        <f>SUM(J2:J16)</f>
        <v>182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0</v>
      </c>
      <c r="F19" s="20"/>
      <c r="G19" s="37"/>
      <c r="H19" s="20"/>
      <c r="I19" s="20"/>
      <c r="J19" s="35"/>
      <c r="K19" s="35"/>
      <c r="L19" s="35" t="s">
        <v>17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>
        <v>185</v>
      </c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65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185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13:E16 D12 C2:E2 E3:E12 C3:D5 C7:D11 D6">
    <cfRule type="notContainsBlanks" dxfId="89" priority="5">
      <formula>LEN(TRIM(C2))&gt;0</formula>
    </cfRule>
    <cfRule type="containsBlanks" dxfId="88" priority="6">
      <formula>LEN(TRIM(C2))=0</formula>
    </cfRule>
  </conditionalFormatting>
  <conditionalFormatting sqref="C12">
    <cfRule type="notContainsBlanks" dxfId="87" priority="3">
      <formula>LEN(TRIM(C12))&gt;0</formula>
    </cfRule>
    <cfRule type="containsBlanks" dxfId="86" priority="4">
      <formula>LEN(TRIM(C12))=0</formula>
    </cfRule>
  </conditionalFormatting>
  <conditionalFormatting sqref="C6">
    <cfRule type="notContainsBlanks" dxfId="85" priority="1">
      <formula>LEN(TRIM(C6))&gt;0</formula>
    </cfRule>
    <cfRule type="containsBlanks" dxfId="84" priority="2">
      <formula>LEN(TRIM(C6))=0</formula>
    </cfRule>
  </conditionalFormatting>
  <hyperlinks>
    <hyperlink ref="G1" r:id="rId1" xr:uid="{88D72C1A-ADAA-400A-B1FF-A4362B36E29A}"/>
    <hyperlink ref="H1" r:id="rId2" xr:uid="{93D721E9-2466-48C6-AFBD-DAB009B7E88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2C5A-AE34-4C1F-9404-BD7ACF6C85F9}">
  <dimension ref="A1:Q24"/>
  <sheetViews>
    <sheetView workbookViewId="0">
      <selection activeCell="M21" sqref="M21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75</v>
      </c>
      <c r="D2" s="10"/>
      <c r="E2" s="11" t="b">
        <v>0</v>
      </c>
      <c r="F2" s="12"/>
      <c r="G2" s="13">
        <f>IF(C2&lt;&gt;"", M8, 0)</f>
        <v>31</v>
      </c>
      <c r="H2" s="13"/>
      <c r="I2" s="13"/>
      <c r="J2" s="14">
        <f>SUM(G2:I2)</f>
        <v>31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/>
      <c r="D3" s="9"/>
      <c r="E3" s="11" t="b">
        <v>0</v>
      </c>
      <c r="F3" s="9"/>
      <c r="G3" s="13">
        <f>IF(C3&lt;&gt;"", M8, 0)</f>
        <v>0</v>
      </c>
      <c r="H3" s="13"/>
      <c r="I3" s="13"/>
      <c r="J3" s="14">
        <f>SUM(G3:I3)</f>
        <v>0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64"/>
      <c r="G4" s="13">
        <f>IF(C4&lt;&gt;"", M8, 0)</f>
        <v>0</v>
      </c>
      <c r="H4" s="13"/>
      <c r="I4" s="13"/>
      <c r="J4" s="14">
        <f>SUM(G4:I4)</f>
        <v>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71</v>
      </c>
      <c r="D5" s="9"/>
      <c r="E5" s="11" t="b">
        <v>0</v>
      </c>
      <c r="F5" s="9"/>
      <c r="G5" s="13">
        <f>IF(C5&lt;&gt;"", M8, 0)</f>
        <v>31</v>
      </c>
      <c r="H5" s="13"/>
      <c r="I5" s="13"/>
      <c r="J5" s="14">
        <f>SUM(G5:I5)</f>
        <v>31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/>
      <c r="I6" s="13"/>
      <c r="J6" s="14">
        <f>SUM(G6:I6)</f>
        <v>0</v>
      </c>
      <c r="K6" s="20"/>
      <c r="L6" s="24" t="s">
        <v>37</v>
      </c>
      <c r="M6" s="71">
        <f>COUNTA(C2:C16)</f>
        <v>5</v>
      </c>
      <c r="N6" s="71"/>
      <c r="O6" s="25"/>
    </row>
    <row r="7" spans="1:17" ht="15">
      <c r="A7" s="7">
        <v>6</v>
      </c>
      <c r="B7" s="8" t="s">
        <v>21</v>
      </c>
      <c r="C7" s="9" t="s">
        <v>64</v>
      </c>
      <c r="D7" s="9"/>
      <c r="E7" s="11" t="b">
        <v>0</v>
      </c>
      <c r="F7" s="40"/>
      <c r="G7" s="13">
        <f>IF(C7&lt;&gt;"", M8, 0)</f>
        <v>31</v>
      </c>
      <c r="H7" s="13"/>
      <c r="I7" s="13"/>
      <c r="J7" s="14">
        <f>SUM(G7:I7)</f>
        <v>31</v>
      </c>
      <c r="K7" s="20"/>
      <c r="L7" s="26" t="s">
        <v>38</v>
      </c>
      <c r="M7" s="67">
        <f>M19+M20</f>
        <v>153</v>
      </c>
      <c r="N7" s="67"/>
      <c r="O7" s="27"/>
    </row>
    <row r="8" spans="1:17" ht="15">
      <c r="A8" s="7">
        <v>7</v>
      </c>
      <c r="B8" s="8" t="s">
        <v>22</v>
      </c>
      <c r="C8" s="9" t="s">
        <v>64</v>
      </c>
      <c r="D8" s="9"/>
      <c r="E8" s="11" t="b">
        <v>0</v>
      </c>
      <c r="F8" s="9"/>
      <c r="G8" s="13">
        <f>IF(C8&lt;&gt;"", M8, 0)</f>
        <v>31</v>
      </c>
      <c r="H8" s="13"/>
      <c r="I8" s="13"/>
      <c r="J8" s="14">
        <f>SUM(G8:I8)</f>
        <v>31</v>
      </c>
      <c r="K8" s="20"/>
      <c r="L8" s="26" t="s">
        <v>39</v>
      </c>
      <c r="M8" s="67">
        <f>ROUND(M7/M6,0)</f>
        <v>31</v>
      </c>
      <c r="N8" s="67"/>
      <c r="O8" s="21"/>
    </row>
    <row r="9" spans="1:17" ht="15">
      <c r="A9" s="7">
        <v>8</v>
      </c>
      <c r="B9" s="8" t="s">
        <v>23</v>
      </c>
      <c r="C9" s="9" t="s">
        <v>76</v>
      </c>
      <c r="D9" s="9"/>
      <c r="E9" s="11" t="b">
        <v>0</v>
      </c>
      <c r="F9" s="9"/>
      <c r="G9" s="13">
        <f>IF(C9&lt;&gt;"", M8, 0)</f>
        <v>31</v>
      </c>
      <c r="H9" s="13"/>
      <c r="J9" s="14">
        <f>SUM(G9:I9)</f>
        <v>31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/>
      <c r="G10" s="13">
        <f>IF(C10&lt;&gt;"", M8, 0)</f>
        <v>0</v>
      </c>
      <c r="H10" s="13"/>
      <c r="I10" s="13"/>
      <c r="J10" s="14">
        <f>SUM(G10:I10)</f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/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/>
      <c r="D12" s="33"/>
      <c r="E12" s="11" t="b">
        <v>0</v>
      </c>
      <c r="F12" s="13"/>
      <c r="G12" s="13">
        <f>IF(C12&lt;&gt;"", M8, 0)</f>
        <v>0</v>
      </c>
      <c r="H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155</v>
      </c>
      <c r="H18" s="20"/>
      <c r="I18" s="20"/>
      <c r="J18" s="35">
        <f>SUM(J2:J16)</f>
        <v>155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0</v>
      </c>
      <c r="F19" s="20"/>
      <c r="G19" s="37"/>
      <c r="H19" s="20"/>
      <c r="I19" s="20"/>
      <c r="J19" s="35"/>
      <c r="K19" s="35"/>
      <c r="L19" s="35" t="s">
        <v>17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>
        <v>153</v>
      </c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65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153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13:E16 D12 C2:E2 C3:D11 E3:E12">
    <cfRule type="notContainsBlanks" dxfId="83" priority="3">
      <formula>LEN(TRIM(C2))&gt;0</formula>
    </cfRule>
    <cfRule type="containsBlanks" dxfId="82" priority="4">
      <formula>LEN(TRIM(C2))=0</formula>
    </cfRule>
  </conditionalFormatting>
  <conditionalFormatting sqref="C12">
    <cfRule type="notContainsBlanks" dxfId="81" priority="1">
      <formula>LEN(TRIM(C12))&gt;0</formula>
    </cfRule>
    <cfRule type="containsBlanks" dxfId="80" priority="2">
      <formula>LEN(TRIM(C12))=0</formula>
    </cfRule>
  </conditionalFormatting>
  <hyperlinks>
    <hyperlink ref="G1" r:id="rId1" xr:uid="{3A1AE95A-6CDD-4151-BE1B-9AF4532E26C8}"/>
    <hyperlink ref="H1" r:id="rId2" xr:uid="{40642140-7155-4C09-9B55-EAB881AC9623}"/>
  </hyperlinks>
  <pageMargins left="0.7" right="0.7" top="0.75" bottom="0.75" header="0.3" footer="0.3"/>
  <ignoredErrors>
    <ignoredError sqref="M8:N8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CF61-82E2-4818-B539-35609221BDBD}">
  <dimension ref="A1:Q24"/>
  <sheetViews>
    <sheetView workbookViewId="0">
      <selection activeCell="E3" sqref="E3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77</v>
      </c>
      <c r="D2" s="10"/>
      <c r="E2" s="11" t="b">
        <v>1</v>
      </c>
      <c r="F2" s="12"/>
      <c r="G2" s="13">
        <f>IF(C2&lt;&gt;"", M8, 0)</f>
        <v>26</v>
      </c>
      <c r="H2" s="13"/>
      <c r="I2" s="13"/>
      <c r="J2" s="14">
        <f>SUM(G2:I2)</f>
        <v>26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77</v>
      </c>
      <c r="D3" s="9"/>
      <c r="E3" s="11" t="b">
        <v>1</v>
      </c>
      <c r="F3" s="9"/>
      <c r="G3" s="13">
        <f>IF(C3&lt;&gt;"", M8, 0)</f>
        <v>26</v>
      </c>
      <c r="H3" s="13"/>
      <c r="I3" s="13"/>
      <c r="J3" s="14">
        <f>SUM(G3:I3)</f>
        <v>26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64"/>
      <c r="G4" s="13">
        <f>IF(C4&lt;&gt;"", M8, 0)</f>
        <v>0</v>
      </c>
      <c r="H4" s="13"/>
      <c r="I4" s="13"/>
      <c r="J4" s="14">
        <f>SUM(G4:I4)</f>
        <v>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57</v>
      </c>
      <c r="D5" s="9"/>
      <c r="E5" s="11" t="b">
        <v>1</v>
      </c>
      <c r="F5" s="9"/>
      <c r="G5" s="13">
        <f>IF(C5&lt;&gt;"", M8, 0)</f>
        <v>26</v>
      </c>
      <c r="H5" s="13"/>
      <c r="I5" s="13"/>
      <c r="J5" s="14">
        <f>SUM(G5:I5)</f>
        <v>26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 t="s">
        <v>77</v>
      </c>
      <c r="D6" s="9"/>
      <c r="E6" s="11" t="b">
        <v>1</v>
      </c>
      <c r="F6" s="23"/>
      <c r="G6" s="13">
        <f>IF(C6&lt;&gt;"", M8, 0)</f>
        <v>26</v>
      </c>
      <c r="H6" s="13"/>
      <c r="I6" s="13"/>
      <c r="J6" s="14">
        <f>SUM(G6:I6)</f>
        <v>26</v>
      </c>
      <c r="K6" s="20"/>
      <c r="L6" s="24" t="s">
        <v>37</v>
      </c>
      <c r="M6" s="71">
        <f>COUNTA(C2:C16)</f>
        <v>8</v>
      </c>
      <c r="N6" s="71"/>
      <c r="O6" s="25"/>
    </row>
    <row r="7" spans="1:17" ht="15">
      <c r="A7" s="7">
        <v>6</v>
      </c>
      <c r="B7" s="8" t="s">
        <v>21</v>
      </c>
      <c r="C7" s="9" t="s">
        <v>77</v>
      </c>
      <c r="D7" s="9"/>
      <c r="E7" s="11" t="b">
        <v>1</v>
      </c>
      <c r="F7" s="40"/>
      <c r="G7" s="13">
        <f>IF(C7&lt;&gt;"", M8, 0)</f>
        <v>26</v>
      </c>
      <c r="H7" s="13"/>
      <c r="I7" s="13"/>
      <c r="J7" s="14">
        <f>SUM(G7:I7)</f>
        <v>26</v>
      </c>
      <c r="K7" s="20"/>
      <c r="L7" s="26" t="s">
        <v>38</v>
      </c>
      <c r="M7" s="67">
        <f>M19+M20</f>
        <v>204</v>
      </c>
      <c r="N7" s="67"/>
      <c r="O7" s="27"/>
    </row>
    <row r="8" spans="1:17" ht="15">
      <c r="A8" s="7">
        <v>7</v>
      </c>
      <c r="B8" s="8" t="s">
        <v>22</v>
      </c>
      <c r="C8" s="9" t="s">
        <v>77</v>
      </c>
      <c r="D8" s="9"/>
      <c r="E8" s="11" t="b">
        <v>1</v>
      </c>
      <c r="F8" s="9"/>
      <c r="G8" s="13">
        <f>IF(C8&lt;&gt;"", M8, 0)</f>
        <v>26</v>
      </c>
      <c r="H8" s="13"/>
      <c r="I8" s="13"/>
      <c r="J8" s="14">
        <f>SUM(G8:I8)</f>
        <v>26</v>
      </c>
      <c r="K8" s="20"/>
      <c r="L8" s="26" t="s">
        <v>39</v>
      </c>
      <c r="M8" s="67">
        <f>ROUND(M7/M6,0)</f>
        <v>26</v>
      </c>
      <c r="N8" s="67"/>
      <c r="O8" s="21"/>
    </row>
    <row r="9" spans="1:17" ht="15">
      <c r="A9" s="7">
        <v>8</v>
      </c>
      <c r="B9" s="8" t="s">
        <v>23</v>
      </c>
      <c r="C9" s="9" t="s">
        <v>78</v>
      </c>
      <c r="D9" s="9"/>
      <c r="E9" s="11" t="b">
        <v>1</v>
      </c>
      <c r="F9" s="9"/>
      <c r="G9" s="13">
        <f>IF(C9&lt;&gt;"", M8, 0)</f>
        <v>26</v>
      </c>
      <c r="H9" s="13"/>
      <c r="J9" s="14">
        <f>SUM(G9:I9)</f>
        <v>26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79</v>
      </c>
      <c r="D10" s="9"/>
      <c r="E10" s="11" t="b">
        <v>1</v>
      </c>
      <c r="F10" s="32"/>
      <c r="G10" s="13">
        <f>IF(C10&lt;&gt;"", M8, 0)</f>
        <v>26</v>
      </c>
      <c r="H10" s="13"/>
      <c r="I10" s="13"/>
      <c r="J10" s="14">
        <f>SUM(G10:I10)</f>
        <v>26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/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/>
      <c r="D12" s="33"/>
      <c r="E12" s="11" t="b">
        <v>0</v>
      </c>
      <c r="F12" s="13"/>
      <c r="G12" s="13">
        <f>IF(C12&lt;&gt;"", M8, 0)</f>
        <v>0</v>
      </c>
      <c r="H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208</v>
      </c>
      <c r="H18" s="20"/>
      <c r="I18" s="20"/>
      <c r="J18" s="35">
        <f>SUM(J2:J16)</f>
        <v>208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8</v>
      </c>
      <c r="F19" s="20"/>
      <c r="G19" s="37"/>
      <c r="H19" s="20"/>
      <c r="I19" s="20"/>
      <c r="J19" s="35"/>
      <c r="K19" s="35"/>
      <c r="L19" s="35" t="s">
        <v>17</v>
      </c>
      <c r="M19">
        <v>204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65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13:E16 D12:E12 C2:E11">
    <cfRule type="notContainsBlanks" dxfId="79" priority="3">
      <formula>LEN(TRIM(C2))&gt;0</formula>
    </cfRule>
    <cfRule type="containsBlanks" dxfId="78" priority="4">
      <formula>LEN(TRIM(C2))=0</formula>
    </cfRule>
  </conditionalFormatting>
  <conditionalFormatting sqref="C12">
    <cfRule type="notContainsBlanks" dxfId="77" priority="1">
      <formula>LEN(TRIM(C12))&gt;0</formula>
    </cfRule>
    <cfRule type="containsBlanks" dxfId="76" priority="2">
      <formula>LEN(TRIM(C12))=0</formula>
    </cfRule>
  </conditionalFormatting>
  <hyperlinks>
    <hyperlink ref="G1" r:id="rId1" xr:uid="{715708C6-ED2B-4DE1-840F-2E97BC0728A0}"/>
    <hyperlink ref="H1" r:id="rId2" xr:uid="{FB104B4B-0F6A-4BCD-ACCF-8D5E15B1C42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4F08-F7CF-4AD8-8A99-1448AD5FAF00}">
  <dimension ref="A1:Q24"/>
  <sheetViews>
    <sheetView topLeftCell="B1" workbookViewId="0">
      <selection activeCell="F25" sqref="F25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80</v>
      </c>
      <c r="D2" s="10"/>
      <c r="E2" s="11" t="b">
        <v>1</v>
      </c>
      <c r="F2" s="12"/>
      <c r="G2" s="13">
        <f>IF(C2&lt;&gt;"", M8, 0)</f>
        <v>26</v>
      </c>
      <c r="H2" s="13"/>
      <c r="I2" s="13"/>
      <c r="J2" s="14">
        <f>SUM(G2:I2)</f>
        <v>26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57</v>
      </c>
      <c r="D3" s="9"/>
      <c r="E3" s="11" t="b">
        <v>1</v>
      </c>
      <c r="F3" s="9"/>
      <c r="G3" s="13">
        <f>IF(C3&lt;&gt;"", M8, 0)</f>
        <v>26</v>
      </c>
      <c r="H3" s="13"/>
      <c r="I3" s="13"/>
      <c r="J3" s="14">
        <f>SUM(G3:I3)</f>
        <v>26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64"/>
      <c r="G4" s="13">
        <f>IF(C4&lt;&gt;"", M8, 0)</f>
        <v>0</v>
      </c>
      <c r="H4" s="13"/>
      <c r="I4" s="13"/>
      <c r="J4" s="14">
        <f>SUM(G4:I4)</f>
        <v>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71</v>
      </c>
      <c r="D5" s="9"/>
      <c r="E5" s="11" t="b">
        <v>1</v>
      </c>
      <c r="F5" s="9"/>
      <c r="G5" s="13">
        <f>IF(C5&lt;&gt;"", M8, 0)</f>
        <v>26</v>
      </c>
      <c r="H5" s="13"/>
      <c r="I5" s="13"/>
      <c r="J5" s="14">
        <f>SUM(G5:I5)</f>
        <v>26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/>
      <c r="I6" s="13"/>
      <c r="J6" s="14">
        <f>SUM(G6:I6)</f>
        <v>0</v>
      </c>
      <c r="K6" s="20"/>
      <c r="L6" s="24" t="s">
        <v>37</v>
      </c>
      <c r="M6" s="71">
        <f>COUNTA(C2:C16)</f>
        <v>6</v>
      </c>
      <c r="N6" s="71"/>
      <c r="O6" s="25"/>
    </row>
    <row r="7" spans="1:17" ht="15">
      <c r="A7" s="7">
        <v>6</v>
      </c>
      <c r="B7" s="8" t="s">
        <v>21</v>
      </c>
      <c r="C7" s="9" t="s">
        <v>81</v>
      </c>
      <c r="D7" s="9"/>
      <c r="E7" s="11" t="b">
        <v>1</v>
      </c>
      <c r="F7" s="40"/>
      <c r="G7" s="13">
        <f>IF(C7&lt;&gt;"", M8, 0)</f>
        <v>26</v>
      </c>
      <c r="H7" s="13"/>
      <c r="I7" s="13"/>
      <c r="J7" s="14">
        <f>SUM(G7:I7)</f>
        <v>26</v>
      </c>
      <c r="K7" s="20"/>
      <c r="L7" s="26" t="s">
        <v>38</v>
      </c>
      <c r="M7" s="67">
        <f>M19+M20</f>
        <v>158</v>
      </c>
      <c r="N7" s="67"/>
      <c r="O7" s="27"/>
    </row>
    <row r="8" spans="1:17" ht="15">
      <c r="A8" s="7">
        <v>7</v>
      </c>
      <c r="B8" s="8" t="s">
        <v>22</v>
      </c>
      <c r="C8" s="9" t="s">
        <v>82</v>
      </c>
      <c r="D8" s="9"/>
      <c r="E8" s="11" t="b">
        <v>1</v>
      </c>
      <c r="F8" s="9"/>
      <c r="G8" s="13">
        <f>IF(C8&lt;&gt;"", M8, 0)</f>
        <v>26</v>
      </c>
      <c r="H8" s="13"/>
      <c r="I8" s="13"/>
      <c r="J8" s="14">
        <f>SUM(G8:I8)</f>
        <v>26</v>
      </c>
      <c r="K8" s="20"/>
      <c r="L8" s="26" t="s">
        <v>39</v>
      </c>
      <c r="M8" s="67">
        <f>ROUND(M7/M6,0)</f>
        <v>26</v>
      </c>
      <c r="N8" s="67"/>
      <c r="O8" s="21"/>
    </row>
    <row r="9" spans="1:17" ht="15">
      <c r="A9" s="7">
        <v>8</v>
      </c>
      <c r="B9" s="8" t="s">
        <v>23</v>
      </c>
      <c r="C9" s="9" t="s">
        <v>65</v>
      </c>
      <c r="D9" s="9"/>
      <c r="E9" s="11" t="b">
        <v>1</v>
      </c>
      <c r="F9" s="9"/>
      <c r="G9" s="13">
        <f>IF(C9&lt;&gt;"", M8, 0)</f>
        <v>26</v>
      </c>
      <c r="H9" s="13"/>
      <c r="J9" s="14">
        <f>SUM(G9:I9)</f>
        <v>26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/>
      <c r="G10" s="13">
        <f>IF(C10&lt;&gt;"", M8, 0)</f>
        <v>0</v>
      </c>
      <c r="H10" s="13"/>
      <c r="I10" s="13"/>
      <c r="J10" s="14">
        <f>SUM(G10:I10)</f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/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/>
      <c r="D12" s="33"/>
      <c r="E12" s="11" t="b">
        <v>0</v>
      </c>
      <c r="F12" s="13"/>
      <c r="G12" s="13">
        <f>IF(C12&lt;&gt;"", M8, 0)</f>
        <v>0</v>
      </c>
      <c r="H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156</v>
      </c>
      <c r="H18" s="20"/>
      <c r="I18" s="20"/>
      <c r="J18" s="35">
        <f>SUM(J2:J16)</f>
        <v>156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6</v>
      </c>
      <c r="F19" s="20"/>
      <c r="G19" s="37"/>
      <c r="H19" s="20"/>
      <c r="I19" s="20"/>
      <c r="J19" s="35"/>
      <c r="K19" s="35"/>
      <c r="L19" s="35" t="s">
        <v>17</v>
      </c>
      <c r="M19">
        <v>158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65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13:E16 D12:E12 C2:E11">
    <cfRule type="notContainsBlanks" dxfId="75" priority="3">
      <formula>LEN(TRIM(C2))&gt;0</formula>
    </cfRule>
    <cfRule type="containsBlanks" dxfId="74" priority="4">
      <formula>LEN(TRIM(C2))=0</formula>
    </cfRule>
  </conditionalFormatting>
  <conditionalFormatting sqref="C12">
    <cfRule type="notContainsBlanks" dxfId="73" priority="1">
      <formula>LEN(TRIM(C12))&gt;0</formula>
    </cfRule>
    <cfRule type="containsBlanks" dxfId="72" priority="2">
      <formula>LEN(TRIM(C12))=0</formula>
    </cfRule>
  </conditionalFormatting>
  <hyperlinks>
    <hyperlink ref="G1" r:id="rId1" xr:uid="{60680748-8E94-4D69-BF32-EA4373663742}"/>
    <hyperlink ref="H1" r:id="rId2" xr:uid="{3933AD54-AF42-4DD5-8A0D-18AD68F803E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28A7-886D-4511-83A1-364557795CD1}">
  <dimension ref="A1:Q24"/>
  <sheetViews>
    <sheetView workbookViewId="0">
      <selection activeCell="F25" sqref="F25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83</v>
      </c>
      <c r="D2" s="10"/>
      <c r="E2" s="11" t="b">
        <v>1</v>
      </c>
      <c r="F2" s="12"/>
      <c r="G2" s="13">
        <f>IF(C2&lt;&gt;"", M8, 0)</f>
        <v>24</v>
      </c>
      <c r="H2" s="13"/>
      <c r="I2" s="13"/>
      <c r="J2" s="14">
        <f>SUM(G2:I2)</f>
        <v>24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3</v>
      </c>
      <c r="D3" s="9"/>
      <c r="E3" s="11" t="b">
        <v>1</v>
      </c>
      <c r="F3" s="9"/>
      <c r="G3" s="13">
        <f>IF(C3&lt;&gt;"", M8, 0)</f>
        <v>24</v>
      </c>
      <c r="H3" s="13"/>
      <c r="I3" s="13"/>
      <c r="J3" s="14">
        <f>SUM(G3:I3)</f>
        <v>24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64"/>
      <c r="G4" s="13">
        <f>IF(C4&lt;&gt;"", M8, 0)</f>
        <v>0</v>
      </c>
      <c r="H4" s="13"/>
      <c r="I4" s="13"/>
      <c r="J4" s="14">
        <f>SUM(G4:I4)</f>
        <v>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57</v>
      </c>
      <c r="D5" s="9"/>
      <c r="E5" s="11" t="b">
        <v>1</v>
      </c>
      <c r="F5" s="9"/>
      <c r="G5" s="13">
        <f>IF(C5&lt;&gt;"", M8, 0)</f>
        <v>24</v>
      </c>
      <c r="H5" s="13"/>
      <c r="I5" s="13"/>
      <c r="J5" s="14">
        <f>SUM(G5:I5)</f>
        <v>24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/>
      <c r="I6" s="13"/>
      <c r="J6" s="14">
        <f>SUM(G6:I6)</f>
        <v>0</v>
      </c>
      <c r="K6" s="20"/>
      <c r="L6" s="24" t="s">
        <v>37</v>
      </c>
      <c r="M6" s="71">
        <f>COUNTA(C2:C16)</f>
        <v>7</v>
      </c>
      <c r="N6" s="71"/>
      <c r="O6" s="25"/>
    </row>
    <row r="7" spans="1:17" ht="15">
      <c r="A7" s="7">
        <v>6</v>
      </c>
      <c r="B7" s="8" t="s">
        <v>21</v>
      </c>
      <c r="C7" s="9" t="s">
        <v>84</v>
      </c>
      <c r="D7" s="9"/>
      <c r="E7" s="11" t="b">
        <v>1</v>
      </c>
      <c r="F7" s="40"/>
      <c r="G7" s="13">
        <f>IF(C7&lt;&gt;"", M8, 0)</f>
        <v>24</v>
      </c>
      <c r="H7" s="13"/>
      <c r="I7" s="13"/>
      <c r="J7" s="14">
        <f>SUM(G7:I7)</f>
        <v>24</v>
      </c>
      <c r="K7" s="20"/>
      <c r="L7" s="26" t="s">
        <v>38</v>
      </c>
      <c r="M7" s="67">
        <f>M19+M20</f>
        <v>167</v>
      </c>
      <c r="N7" s="67"/>
      <c r="O7" s="27"/>
    </row>
    <row r="8" spans="1:17" ht="15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IF(C8&lt;&gt;"", M8, 0)</f>
        <v>0</v>
      </c>
      <c r="H8" s="13"/>
      <c r="I8" s="13"/>
      <c r="J8" s="14">
        <f>SUM(G8:I8)</f>
        <v>0</v>
      </c>
      <c r="K8" s="20"/>
      <c r="L8" s="26" t="s">
        <v>39</v>
      </c>
      <c r="M8" s="67">
        <f>ROUND(M7/M6,0)</f>
        <v>24</v>
      </c>
      <c r="N8" s="67"/>
      <c r="O8" s="21"/>
    </row>
    <row r="9" spans="1:17" ht="15">
      <c r="A9" s="7">
        <v>8</v>
      </c>
      <c r="B9" s="8" t="s">
        <v>23</v>
      </c>
      <c r="C9" s="9" t="s">
        <v>3</v>
      </c>
      <c r="D9" s="9"/>
      <c r="E9" s="11" t="b">
        <v>1</v>
      </c>
      <c r="F9" s="9"/>
      <c r="G9" s="13">
        <f>IF(C9&lt;&gt;"", M8, 0)</f>
        <v>24</v>
      </c>
      <c r="H9" s="13"/>
      <c r="J9" s="14">
        <f>SUM(G9:I9)</f>
        <v>24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85</v>
      </c>
      <c r="D10" s="9"/>
      <c r="E10" s="11" t="b">
        <v>1</v>
      </c>
      <c r="F10" s="32"/>
      <c r="G10" s="13">
        <f>IF(C10&lt;&gt;"", M8, 0)</f>
        <v>24</v>
      </c>
      <c r="H10" s="13"/>
      <c r="I10" s="13"/>
      <c r="J10" s="14">
        <f>SUM(G10:I10)</f>
        <v>24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/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 t="s">
        <v>84</v>
      </c>
      <c r="D12" s="33"/>
      <c r="E12" s="11" t="b">
        <v>1</v>
      </c>
      <c r="F12" s="13"/>
      <c r="G12" s="13">
        <f>IF(C12&lt;&gt;"", M8, 0)</f>
        <v>24</v>
      </c>
      <c r="H12" s="13"/>
      <c r="J12" s="14">
        <f>SUM(G12:I12)</f>
        <v>24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168</v>
      </c>
      <c r="H18" s="20"/>
      <c r="I18" s="20"/>
      <c r="J18" s="35">
        <f>SUM(J2:J16)</f>
        <v>168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7</v>
      </c>
      <c r="F19" s="20"/>
      <c r="G19" s="37"/>
      <c r="H19" s="20"/>
      <c r="I19" s="20"/>
      <c r="J19" s="35"/>
      <c r="K19" s="35"/>
      <c r="L19" s="35" t="s">
        <v>17</v>
      </c>
      <c r="M19">
        <v>167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65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13:E16 D12:E12 C2:E11">
    <cfRule type="notContainsBlanks" dxfId="71" priority="3">
      <formula>LEN(TRIM(C2))&gt;0</formula>
    </cfRule>
    <cfRule type="containsBlanks" dxfId="70" priority="4">
      <formula>LEN(TRIM(C2))=0</formula>
    </cfRule>
  </conditionalFormatting>
  <conditionalFormatting sqref="C12">
    <cfRule type="notContainsBlanks" dxfId="69" priority="1">
      <formula>LEN(TRIM(C12))&gt;0</formula>
    </cfRule>
    <cfRule type="containsBlanks" dxfId="68" priority="2">
      <formula>LEN(TRIM(C12))=0</formula>
    </cfRule>
  </conditionalFormatting>
  <hyperlinks>
    <hyperlink ref="G1" r:id="rId1" xr:uid="{D5554E71-1453-4A8D-A40B-26DD04F8418D}"/>
    <hyperlink ref="H1" r:id="rId2" xr:uid="{6D4CFC56-23CF-47FE-BA96-BB23A8B0D8D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A221-CA55-4A29-9E3C-59AE03E38FD6}">
  <dimension ref="A1:Q24"/>
  <sheetViews>
    <sheetView workbookViewId="0">
      <selection activeCell="F23" sqref="F23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86</v>
      </c>
      <c r="D2" s="10"/>
      <c r="E2" s="11" t="b">
        <v>1</v>
      </c>
      <c r="F2" s="12"/>
      <c r="G2" s="13">
        <f>IF(C2&lt;&gt;"", M8, 0)</f>
        <v>28</v>
      </c>
      <c r="H2" s="13"/>
      <c r="I2" s="13"/>
      <c r="J2" s="14">
        <f>SUM(G2:I2)</f>
        <v>28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86</v>
      </c>
      <c r="D3" s="9"/>
      <c r="E3" s="11" t="b">
        <v>1</v>
      </c>
      <c r="F3" s="9"/>
      <c r="G3" s="13">
        <f>IF(C3&lt;&gt;"", M8, 0)</f>
        <v>28</v>
      </c>
      <c r="H3" s="13"/>
      <c r="I3" s="13"/>
      <c r="J3" s="14">
        <f>SUM(G3:I3)</f>
        <v>28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64"/>
      <c r="G4" s="13">
        <f>IF(C4&lt;&gt;"", M8, 0)</f>
        <v>0</v>
      </c>
      <c r="H4" s="13"/>
      <c r="I4" s="13"/>
      <c r="J4" s="14">
        <f>SUM(G4:I4)</f>
        <v>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87</v>
      </c>
      <c r="D5" s="9"/>
      <c r="E5" s="11" t="b">
        <v>1</v>
      </c>
      <c r="F5" s="9"/>
      <c r="G5" s="13">
        <f>IF(C5&lt;&gt;"", M8, 0)</f>
        <v>28</v>
      </c>
      <c r="H5" s="13"/>
      <c r="I5" s="13"/>
      <c r="J5" s="14">
        <f>SUM(G5:I5)</f>
        <v>28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 t="s">
        <v>86</v>
      </c>
      <c r="D6" s="9"/>
      <c r="E6" s="11" t="b">
        <v>1</v>
      </c>
      <c r="F6" s="23"/>
      <c r="G6" s="13">
        <f>IF(C6&lt;&gt;"", M8, 0)</f>
        <v>28</v>
      </c>
      <c r="H6" s="13"/>
      <c r="I6" s="13"/>
      <c r="J6" s="14">
        <f>SUM(G6:I6)</f>
        <v>28</v>
      </c>
      <c r="K6" s="20"/>
      <c r="L6" s="24" t="s">
        <v>37</v>
      </c>
      <c r="M6" s="71">
        <f>COUNTA(C2:C16)</f>
        <v>9</v>
      </c>
      <c r="N6" s="71"/>
      <c r="O6" s="25"/>
    </row>
    <row r="7" spans="1:17" ht="15">
      <c r="A7" s="7">
        <v>6</v>
      </c>
      <c r="B7" s="8" t="s">
        <v>21</v>
      </c>
      <c r="C7" s="9" t="s">
        <v>88</v>
      </c>
      <c r="D7" s="9"/>
      <c r="E7" s="11" t="b">
        <v>1</v>
      </c>
      <c r="F7" s="40"/>
      <c r="G7" s="13">
        <f>IF(C7&lt;&gt;"", M8, 0)</f>
        <v>28</v>
      </c>
      <c r="H7" s="13"/>
      <c r="I7" s="13"/>
      <c r="J7" s="14">
        <f>SUM(G7:I7)</f>
        <v>28</v>
      </c>
      <c r="K7" s="20"/>
      <c r="L7" s="26" t="s">
        <v>38</v>
      </c>
      <c r="M7" s="67">
        <f>M19+M20</f>
        <v>252</v>
      </c>
      <c r="N7" s="67"/>
      <c r="O7" s="27"/>
    </row>
    <row r="8" spans="1:17" ht="15">
      <c r="A8" s="7">
        <v>7</v>
      </c>
      <c r="B8" s="8" t="s">
        <v>22</v>
      </c>
      <c r="C8" s="9" t="s">
        <v>89</v>
      </c>
      <c r="D8" s="9"/>
      <c r="E8" s="11" t="b">
        <v>1</v>
      </c>
      <c r="F8" s="9"/>
      <c r="G8" s="13">
        <f>IF(C8&lt;&gt;"", M8, 0)</f>
        <v>28</v>
      </c>
      <c r="H8" s="13"/>
      <c r="I8" s="13"/>
      <c r="J8" s="14">
        <f>SUM(G8:I8)</f>
        <v>28</v>
      </c>
      <c r="K8" s="20"/>
      <c r="L8" s="26" t="s">
        <v>39</v>
      </c>
      <c r="M8" s="67">
        <f>ROUND(M7/M6,0)</f>
        <v>28</v>
      </c>
      <c r="N8" s="67"/>
      <c r="O8" s="21"/>
    </row>
    <row r="9" spans="1:17" ht="15">
      <c r="A9" s="7">
        <v>8</v>
      </c>
      <c r="B9" s="8" t="s">
        <v>23</v>
      </c>
      <c r="C9" s="9" t="s">
        <v>87</v>
      </c>
      <c r="D9" s="9"/>
      <c r="E9" s="11" t="b">
        <v>1</v>
      </c>
      <c r="F9" s="9"/>
      <c r="G9" s="13">
        <f>IF(C9&lt;&gt;"", M8, 0)</f>
        <v>28</v>
      </c>
      <c r="H9" s="13"/>
      <c r="J9" s="14">
        <f>SUM(G9:I9)</f>
        <v>28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90</v>
      </c>
      <c r="D10" s="9"/>
      <c r="E10" s="11" t="b">
        <v>1</v>
      </c>
      <c r="F10" s="32"/>
      <c r="G10" s="13">
        <f>IF(C10&lt;&gt;"", M8, 0)</f>
        <v>28</v>
      </c>
      <c r="H10" s="13"/>
      <c r="I10" s="13"/>
      <c r="J10" s="14">
        <f>SUM(G10:I10)</f>
        <v>28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/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 t="s">
        <v>91</v>
      </c>
      <c r="D12" s="33"/>
      <c r="E12" s="11" t="b">
        <v>1</v>
      </c>
      <c r="F12" s="13"/>
      <c r="G12" s="13">
        <f>IF(C12&lt;&gt;"", M8, 0)</f>
        <v>28</v>
      </c>
      <c r="H12" s="13"/>
      <c r="J12" s="14">
        <f>SUM(G12:I12)</f>
        <v>28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252</v>
      </c>
      <c r="H18" s="20"/>
      <c r="I18" s="20"/>
      <c r="J18" s="35">
        <f>SUM(J2:J16)</f>
        <v>252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9</v>
      </c>
      <c r="F19" s="20"/>
      <c r="G19" s="37"/>
      <c r="H19" s="20"/>
      <c r="I19" s="20"/>
      <c r="J19" s="35"/>
      <c r="K19" s="35"/>
      <c r="L19" s="35" t="s">
        <v>17</v>
      </c>
      <c r="M19">
        <v>252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65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13:E16 D12:E12 C2:E11">
    <cfRule type="notContainsBlanks" dxfId="67" priority="3">
      <formula>LEN(TRIM(C2))&gt;0</formula>
    </cfRule>
    <cfRule type="containsBlanks" dxfId="66" priority="4">
      <formula>LEN(TRIM(C2))=0</formula>
    </cfRule>
  </conditionalFormatting>
  <conditionalFormatting sqref="C12">
    <cfRule type="notContainsBlanks" dxfId="65" priority="1">
      <formula>LEN(TRIM(C12))&gt;0</formula>
    </cfRule>
    <cfRule type="containsBlanks" dxfId="64" priority="2">
      <formula>LEN(TRIM(C12))=0</formula>
    </cfRule>
  </conditionalFormatting>
  <hyperlinks>
    <hyperlink ref="G1" r:id="rId1" xr:uid="{C8FE73C4-7BE9-4EDA-8F69-A6E28C2DD4E9}"/>
    <hyperlink ref="H1" r:id="rId2" xr:uid="{AB11CB34-9EBD-4F0C-8432-F884871DFF4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82771-9240-44BE-8FD0-0D054B6BEDA3}">
  <dimension ref="A1:Q24"/>
  <sheetViews>
    <sheetView workbookViewId="0">
      <selection activeCell="F23" sqref="F23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77</v>
      </c>
      <c r="D2" s="10"/>
      <c r="E2" s="11" t="b">
        <v>0</v>
      </c>
      <c r="F2" s="12"/>
      <c r="G2" s="13">
        <f>IF(C2&lt;&gt;"", M8, 0)</f>
        <v>33</v>
      </c>
      <c r="H2" s="13"/>
      <c r="I2" s="13"/>
      <c r="J2" s="14">
        <f>SUM(G2:I2)</f>
        <v>33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/>
      <c r="D3" s="9"/>
      <c r="E3" s="11" t="b">
        <v>0</v>
      </c>
      <c r="F3" s="9"/>
      <c r="G3" s="13">
        <f>IF(C3&lt;&gt;"", M8, 0)</f>
        <v>0</v>
      </c>
      <c r="H3" s="13"/>
      <c r="I3" s="13"/>
      <c r="J3" s="14">
        <f>SUM(G3:I3)</f>
        <v>0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92</v>
      </c>
      <c r="D4" s="9"/>
      <c r="E4" s="11" t="b">
        <v>0</v>
      </c>
      <c r="F4" s="64" t="s">
        <v>93</v>
      </c>
      <c r="G4" s="13">
        <f>IF(C4&lt;&gt;"", M8, 0)</f>
        <v>33</v>
      </c>
      <c r="H4" s="13"/>
      <c r="I4" s="13">
        <v>10</v>
      </c>
      <c r="J4" s="14">
        <f>SUM(G4:I4)</f>
        <v>43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57</v>
      </c>
      <c r="D5" s="9"/>
      <c r="E5" s="11" t="b">
        <v>0</v>
      </c>
      <c r="F5" s="9"/>
      <c r="G5" s="13">
        <f>IF(C5&lt;&gt;"", M8, 0)</f>
        <v>33</v>
      </c>
      <c r="H5" s="13"/>
      <c r="I5" s="13"/>
      <c r="J5" s="14">
        <f>SUM(G5:I5)</f>
        <v>33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/>
      <c r="I6" s="13"/>
      <c r="J6" s="14">
        <f>SUM(G6:I6)</f>
        <v>0</v>
      </c>
      <c r="K6" s="20"/>
      <c r="L6" s="24" t="s">
        <v>37</v>
      </c>
      <c r="M6" s="71">
        <f>COUNTA(C2:C16)</f>
        <v>4</v>
      </c>
      <c r="N6" s="71"/>
      <c r="O6" s="25"/>
    </row>
    <row r="7" spans="1:17" ht="15">
      <c r="A7" s="7">
        <v>6</v>
      </c>
      <c r="B7" s="8" t="s">
        <v>21</v>
      </c>
      <c r="C7" s="9"/>
      <c r="D7" s="9"/>
      <c r="E7" s="11" t="b">
        <v>0</v>
      </c>
      <c r="F7" s="40"/>
      <c r="G7" s="13">
        <f>IF(C7&lt;&gt;"", M8, 0)</f>
        <v>0</v>
      </c>
      <c r="H7" s="13"/>
      <c r="I7" s="13"/>
      <c r="J7" s="14">
        <f>SUM(G7:I7)</f>
        <v>0</v>
      </c>
      <c r="K7" s="20"/>
      <c r="L7" s="26" t="s">
        <v>38</v>
      </c>
      <c r="M7" s="67">
        <f>M19+M20-10</f>
        <v>133</v>
      </c>
      <c r="N7" s="67"/>
      <c r="O7" s="27"/>
    </row>
    <row r="8" spans="1:17" ht="15">
      <c r="A8" s="7">
        <v>7</v>
      </c>
      <c r="B8" s="8" t="s">
        <v>22</v>
      </c>
      <c r="C8" s="9" t="s">
        <v>82</v>
      </c>
      <c r="D8" s="9"/>
      <c r="E8" s="11" t="b">
        <v>0</v>
      </c>
      <c r="F8" s="9"/>
      <c r="G8" s="13">
        <f>IF(C8&lt;&gt;"", M8, 0)</f>
        <v>33</v>
      </c>
      <c r="H8" s="13"/>
      <c r="I8" s="13"/>
      <c r="J8" s="14">
        <f>SUM(G8:I8)</f>
        <v>33</v>
      </c>
      <c r="K8" s="20"/>
      <c r="L8" s="26" t="s">
        <v>39</v>
      </c>
      <c r="M8" s="67">
        <f>ROUND(M7/M6,0)</f>
        <v>33</v>
      </c>
      <c r="N8" s="67"/>
      <c r="O8" s="21"/>
    </row>
    <row r="9" spans="1:17" ht="15">
      <c r="A9" s="7">
        <v>8</v>
      </c>
      <c r="B9" s="8" t="s">
        <v>23</v>
      </c>
      <c r="C9" s="9"/>
      <c r="D9" s="9"/>
      <c r="E9" s="11" t="b">
        <v>0</v>
      </c>
      <c r="F9" s="9"/>
      <c r="G9" s="13">
        <f>IF(C9&lt;&gt;"", M8, 0)</f>
        <v>0</v>
      </c>
      <c r="H9" s="13"/>
      <c r="J9" s="14">
        <f>SUM(G9:I9)</f>
        <v>0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/>
      <c r="G10" s="13">
        <f>IF(C10&lt;&gt;"", M8, 0)</f>
        <v>0</v>
      </c>
      <c r="H10" s="13"/>
      <c r="I10" s="13"/>
      <c r="J10" s="14">
        <f>SUM(G10:I10)</f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/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/>
      <c r="D12" s="33"/>
      <c r="E12" s="11" t="b">
        <v>0</v>
      </c>
      <c r="F12" s="13"/>
      <c r="G12" s="13">
        <f>IF(C12&lt;&gt;"", M8, 0)</f>
        <v>0</v>
      </c>
      <c r="H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 t="s">
        <v>43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132</v>
      </c>
      <c r="H18" s="20"/>
      <c r="I18" s="20"/>
      <c r="J18" s="35">
        <f>SUM(J2:J16)</f>
        <v>142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0</v>
      </c>
      <c r="F19" s="20"/>
      <c r="G19" s="37"/>
      <c r="H19" s="20"/>
      <c r="I19" s="20"/>
      <c r="J19" s="35"/>
      <c r="K19" s="35"/>
      <c r="L19" s="35" t="s">
        <v>17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>
        <v>143</v>
      </c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65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143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13:E16 D12:E12 C2:E11">
    <cfRule type="notContainsBlanks" dxfId="63" priority="3">
      <formula>LEN(TRIM(C2))&gt;0</formula>
    </cfRule>
    <cfRule type="containsBlanks" dxfId="62" priority="4">
      <formula>LEN(TRIM(C2))=0</formula>
    </cfRule>
  </conditionalFormatting>
  <conditionalFormatting sqref="C12">
    <cfRule type="notContainsBlanks" dxfId="61" priority="1">
      <formula>LEN(TRIM(C12))&gt;0</formula>
    </cfRule>
    <cfRule type="containsBlanks" dxfId="60" priority="2">
      <formula>LEN(TRIM(C12))=0</formula>
    </cfRule>
  </conditionalFormatting>
  <hyperlinks>
    <hyperlink ref="G1" r:id="rId1" xr:uid="{28F5692D-CFEE-4252-8570-04577F1D9AF8}"/>
    <hyperlink ref="H1" r:id="rId2" xr:uid="{2EF2D071-F773-406A-81D7-6FF2D5731DA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1E0E-78C6-439B-BA9E-16BE1090E6A0}">
  <dimension ref="A1:Q24"/>
  <sheetViews>
    <sheetView workbookViewId="0">
      <selection activeCell="M7" sqref="M7:N7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94</v>
      </c>
      <c r="D2" s="10"/>
      <c r="E2" s="11" t="b">
        <v>0</v>
      </c>
      <c r="F2" s="12"/>
      <c r="G2" s="13">
        <f>IF(C2&lt;&gt;"", M8, 0)</f>
        <v>25</v>
      </c>
      <c r="H2" s="13"/>
      <c r="I2" s="13"/>
      <c r="J2" s="14">
        <f>SUM(G2:I2)</f>
        <v>25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94</v>
      </c>
      <c r="D3" s="9"/>
      <c r="E3" s="11" t="b">
        <v>0</v>
      </c>
      <c r="F3" s="9"/>
      <c r="G3" s="13">
        <f>IF(C3&lt;&gt;"", M8, 0)</f>
        <v>25</v>
      </c>
      <c r="H3" s="13"/>
      <c r="I3" s="13"/>
      <c r="J3" s="14">
        <f>SUM(G3:I3)</f>
        <v>25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95</v>
      </c>
      <c r="D4" s="9"/>
      <c r="E4" s="11" t="b">
        <v>0</v>
      </c>
      <c r="F4" s="64" t="s">
        <v>93</v>
      </c>
      <c r="G4" s="13">
        <f>IF(C4&lt;&gt;"", M8, 0)</f>
        <v>25</v>
      </c>
      <c r="H4" s="13"/>
      <c r="I4" s="13">
        <v>10</v>
      </c>
      <c r="J4" s="14">
        <f>SUM(G4:I4)</f>
        <v>35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71</v>
      </c>
      <c r="D5" s="9"/>
      <c r="E5" s="11" t="b">
        <v>0</v>
      </c>
      <c r="F5" s="9"/>
      <c r="G5" s="13">
        <f>IF(C5&lt;&gt;"", M8, 0)</f>
        <v>25</v>
      </c>
      <c r="H5" s="13"/>
      <c r="I5" s="13"/>
      <c r="J5" s="14">
        <f>SUM(G5:I5)</f>
        <v>25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/>
      <c r="I6" s="13"/>
      <c r="J6" s="14">
        <f>SUM(G6:I6)</f>
        <v>0</v>
      </c>
      <c r="K6" s="20"/>
      <c r="L6" s="24" t="s">
        <v>37</v>
      </c>
      <c r="M6" s="71">
        <f>COUNTA(C2:C16)</f>
        <v>8</v>
      </c>
      <c r="N6" s="71"/>
      <c r="O6" s="25"/>
    </row>
    <row r="7" spans="1:17" ht="15">
      <c r="A7" s="7">
        <v>6</v>
      </c>
      <c r="B7" s="8" t="s">
        <v>21</v>
      </c>
      <c r="C7" s="9" t="s">
        <v>96</v>
      </c>
      <c r="D7" s="9"/>
      <c r="E7" s="11" t="b">
        <v>1</v>
      </c>
      <c r="F7" s="40" t="s">
        <v>97</v>
      </c>
      <c r="G7" s="13">
        <f>IF(C7&lt;&gt;"", M8, 0)</f>
        <v>25</v>
      </c>
      <c r="H7" s="13"/>
      <c r="I7" s="13">
        <v>10</v>
      </c>
      <c r="J7" s="14">
        <f>SUM(G7:I7)</f>
        <v>35</v>
      </c>
      <c r="K7" s="20"/>
      <c r="L7" s="26" t="s">
        <v>38</v>
      </c>
      <c r="M7" s="67">
        <f>M19+M20-20</f>
        <v>203</v>
      </c>
      <c r="N7" s="67"/>
      <c r="O7" s="27"/>
    </row>
    <row r="8" spans="1:17" ht="15">
      <c r="A8" s="7">
        <v>7</v>
      </c>
      <c r="B8" s="8" t="s">
        <v>22</v>
      </c>
      <c r="C8" s="9" t="s">
        <v>82</v>
      </c>
      <c r="D8" s="9"/>
      <c r="E8" s="11" t="b">
        <v>1</v>
      </c>
      <c r="F8" s="9"/>
      <c r="G8" s="13">
        <f>IF(C8&lt;&gt;"", M8, 0)</f>
        <v>25</v>
      </c>
      <c r="H8" s="13"/>
      <c r="I8" s="13"/>
      <c r="J8" s="14">
        <f>SUM(G8:I8)</f>
        <v>25</v>
      </c>
      <c r="K8" s="20"/>
      <c r="L8" s="26" t="s">
        <v>39</v>
      </c>
      <c r="M8" s="67">
        <f>ROUND(M7/M6,0)</f>
        <v>25</v>
      </c>
      <c r="N8" s="67"/>
      <c r="O8" s="21"/>
    </row>
    <row r="9" spans="1:17" ht="15">
      <c r="A9" s="7">
        <v>8</v>
      </c>
      <c r="B9" s="8" t="s">
        <v>23</v>
      </c>
      <c r="C9" s="9" t="s">
        <v>98</v>
      </c>
      <c r="D9" s="9"/>
      <c r="E9" s="11" t="b">
        <v>1</v>
      </c>
      <c r="F9" s="9"/>
      <c r="G9" s="13">
        <f>IF(C9&lt;&gt;"", M8, 0)</f>
        <v>25</v>
      </c>
      <c r="H9" s="13"/>
      <c r="J9" s="14">
        <f>SUM(G9:I9)</f>
        <v>25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99</v>
      </c>
      <c r="D10" s="9"/>
      <c r="E10" s="11" t="b">
        <v>1</v>
      </c>
      <c r="F10" s="32"/>
      <c r="G10" s="13">
        <f>IF(C10&lt;&gt;"", M8, 0)</f>
        <v>25</v>
      </c>
      <c r="H10" s="13"/>
      <c r="I10" s="13"/>
      <c r="J10" s="14">
        <f>SUM(G10:I10)</f>
        <v>25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/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/>
      <c r="D12" s="33"/>
      <c r="E12" s="11" t="b">
        <v>0</v>
      </c>
      <c r="F12" s="13"/>
      <c r="G12" s="13">
        <f>IF(C12&lt;&gt;"", M8, 0)</f>
        <v>0</v>
      </c>
      <c r="H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200</v>
      </c>
      <c r="H18" s="20"/>
      <c r="I18" s="20"/>
      <c r="J18" s="35">
        <f>SUM(J2:J16)</f>
        <v>220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4</v>
      </c>
      <c r="F19" s="20"/>
      <c r="G19" s="37"/>
      <c r="H19" s="20"/>
      <c r="I19" s="20"/>
      <c r="J19" s="35"/>
      <c r="K19" s="35"/>
      <c r="L19" s="35" t="s">
        <v>17</v>
      </c>
      <c r="M19">
        <v>223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13:E16 D12:E12 C2:E11">
    <cfRule type="notContainsBlanks" dxfId="59" priority="3">
      <formula>LEN(TRIM(C2))&gt;0</formula>
    </cfRule>
    <cfRule type="containsBlanks" dxfId="58" priority="4">
      <formula>LEN(TRIM(C2))=0</formula>
    </cfRule>
  </conditionalFormatting>
  <conditionalFormatting sqref="C12">
    <cfRule type="notContainsBlanks" dxfId="57" priority="1">
      <formula>LEN(TRIM(C12))&gt;0</formula>
    </cfRule>
    <cfRule type="containsBlanks" dxfId="56" priority="2">
      <formula>LEN(TRIM(C12))=0</formula>
    </cfRule>
  </conditionalFormatting>
  <hyperlinks>
    <hyperlink ref="G1" r:id="rId1" xr:uid="{A9D069F4-9E51-49AE-B418-71DBB8D27FBE}"/>
    <hyperlink ref="H1" r:id="rId2" xr:uid="{5CEE8D04-3F08-480F-A1B2-7A68DE2E7CA1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181C-0C54-403B-8D05-F30AE23E506A}">
  <dimension ref="A1:Q24"/>
  <sheetViews>
    <sheetView workbookViewId="0">
      <selection activeCell="E4" sqref="E4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100</v>
      </c>
      <c r="D2" s="10"/>
      <c r="E2" s="11" t="b">
        <v>1</v>
      </c>
      <c r="F2" s="12"/>
      <c r="G2" s="13">
        <f>IF(C2&lt;&gt;"", M8, 0)</f>
        <v>25</v>
      </c>
      <c r="H2" s="13"/>
      <c r="I2" s="13"/>
      <c r="J2" s="14">
        <f>SUM(G2:I2)</f>
        <v>25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100</v>
      </c>
      <c r="D3" s="9"/>
      <c r="E3" s="11" t="b">
        <v>1</v>
      </c>
      <c r="F3" s="9"/>
      <c r="G3" s="13">
        <f>IF(C3&lt;&gt;"", M8, 0)</f>
        <v>25</v>
      </c>
      <c r="H3" s="13"/>
      <c r="I3" s="13"/>
      <c r="J3" s="14">
        <f>SUM(G3:I3)</f>
        <v>25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100</v>
      </c>
      <c r="D4" s="9"/>
      <c r="E4" s="11" t="b">
        <v>1</v>
      </c>
      <c r="F4" s="64"/>
      <c r="G4" s="13">
        <f>IF(C4&lt;&gt;"", M8, 0)</f>
        <v>25</v>
      </c>
      <c r="H4" s="13"/>
      <c r="I4" s="13"/>
      <c r="J4" s="14">
        <f>SUM(G4:I4)</f>
        <v>25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57</v>
      </c>
      <c r="D5" s="9"/>
      <c r="E5" s="11" t="b">
        <v>1</v>
      </c>
      <c r="F5" s="9"/>
      <c r="G5" s="13">
        <f>IF(C5&lt;&gt;"", M8, 0)</f>
        <v>25</v>
      </c>
      <c r="H5" s="13"/>
      <c r="I5" s="13"/>
      <c r="J5" s="14">
        <f>SUM(G5:I5)</f>
        <v>25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 t="s">
        <v>101</v>
      </c>
      <c r="D6" s="9"/>
      <c r="E6" s="11" t="b">
        <v>1</v>
      </c>
      <c r="F6" s="23"/>
      <c r="G6" s="13">
        <f>IF(C6&lt;&gt;"", M8, 0)</f>
        <v>25</v>
      </c>
      <c r="H6" s="13"/>
      <c r="I6" s="13"/>
      <c r="J6" s="14">
        <f>SUM(G6:I6)</f>
        <v>25</v>
      </c>
      <c r="K6" s="20"/>
      <c r="L6" s="24" t="s">
        <v>37</v>
      </c>
      <c r="M6" s="71">
        <f>COUNTA(C2:C16)</f>
        <v>8</v>
      </c>
      <c r="N6" s="71"/>
      <c r="O6" s="25"/>
    </row>
    <row r="7" spans="1:17" ht="15">
      <c r="A7" s="7">
        <v>6</v>
      </c>
      <c r="B7" s="8" t="s">
        <v>21</v>
      </c>
      <c r="C7" s="9" t="s">
        <v>100</v>
      </c>
      <c r="D7" s="9"/>
      <c r="E7" s="11" t="b">
        <v>1</v>
      </c>
      <c r="F7" s="40"/>
      <c r="G7" s="13">
        <f>IF(C7&lt;&gt;"", M8, 0)</f>
        <v>25</v>
      </c>
      <c r="H7" s="13"/>
      <c r="I7" s="13"/>
      <c r="J7" s="14">
        <f>SUM(G7:I7)</f>
        <v>25</v>
      </c>
      <c r="K7" s="20"/>
      <c r="L7" s="26" t="s">
        <v>38</v>
      </c>
      <c r="M7" s="67">
        <f>M19+M20</f>
        <v>203</v>
      </c>
      <c r="N7" s="67"/>
      <c r="O7" s="27"/>
    </row>
    <row r="8" spans="1:17" ht="15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IF(C8&lt;&gt;"", M8, 0)</f>
        <v>0</v>
      </c>
      <c r="H8" s="13"/>
      <c r="I8" s="13"/>
      <c r="J8" s="14">
        <f>SUM(G8:I8)</f>
        <v>0</v>
      </c>
      <c r="K8" s="20"/>
      <c r="L8" s="26" t="s">
        <v>39</v>
      </c>
      <c r="M8" s="67">
        <f>ROUND(M7/M6,0)</f>
        <v>25</v>
      </c>
      <c r="N8" s="67"/>
      <c r="O8" s="21"/>
    </row>
    <row r="9" spans="1:17" ht="15">
      <c r="A9" s="7">
        <v>8</v>
      </c>
      <c r="B9" s="8" t="s">
        <v>23</v>
      </c>
      <c r="C9" s="9" t="s">
        <v>102</v>
      </c>
      <c r="D9" s="9"/>
      <c r="E9" s="11" t="b">
        <v>1</v>
      </c>
      <c r="F9" s="9"/>
      <c r="G9" s="13">
        <f>IF(C9&lt;&gt;"", M8, 0)</f>
        <v>25</v>
      </c>
      <c r="H9" s="13"/>
      <c r="J9" s="14">
        <f>SUM(G9:I9)</f>
        <v>25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103</v>
      </c>
      <c r="D10" s="9"/>
      <c r="E10" s="11" t="b">
        <v>1</v>
      </c>
      <c r="F10" s="32"/>
      <c r="G10" s="13">
        <f>IF(C10&lt;&gt;"", M8, 0)</f>
        <v>25</v>
      </c>
      <c r="H10" s="13"/>
      <c r="I10" s="13"/>
      <c r="J10" s="14">
        <f>SUM(G10:I10)</f>
        <v>25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/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/>
      <c r="D12" s="33"/>
      <c r="E12" s="11" t="b">
        <v>0</v>
      </c>
      <c r="F12" s="13"/>
      <c r="G12" s="13">
        <f>IF(C12&lt;&gt;"", M8, 0)</f>
        <v>0</v>
      </c>
      <c r="H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200</v>
      </c>
      <c r="H18" s="20"/>
      <c r="I18" s="20"/>
      <c r="J18" s="35">
        <f>SUM(J2:J16)</f>
        <v>200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8</v>
      </c>
      <c r="F19" s="20"/>
      <c r="G19" s="37"/>
      <c r="H19" s="20"/>
      <c r="I19" s="20"/>
      <c r="J19" s="35"/>
      <c r="K19" s="35"/>
      <c r="L19" s="35" t="s">
        <v>17</v>
      </c>
      <c r="M19">
        <v>203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13:E16 D12:E12 C2:E11">
    <cfRule type="notContainsBlanks" dxfId="55" priority="3">
      <formula>LEN(TRIM(C2))&gt;0</formula>
    </cfRule>
    <cfRule type="containsBlanks" dxfId="54" priority="4">
      <formula>LEN(TRIM(C2))=0</formula>
    </cfRule>
  </conditionalFormatting>
  <conditionalFormatting sqref="C12">
    <cfRule type="notContainsBlanks" dxfId="53" priority="1">
      <formula>LEN(TRIM(C12))&gt;0</formula>
    </cfRule>
    <cfRule type="containsBlanks" dxfId="52" priority="2">
      <formula>LEN(TRIM(C12))=0</formula>
    </cfRule>
  </conditionalFormatting>
  <hyperlinks>
    <hyperlink ref="G1" r:id="rId1" xr:uid="{6B6FCEAF-4522-4D42-8949-232C7A2F319C}"/>
    <hyperlink ref="H1" r:id="rId2" xr:uid="{519F7960-518B-41D3-A635-B8F845E2674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508E-2436-4E97-92FB-FEEDC60C0A43}">
  <dimension ref="A1:Q24"/>
  <sheetViews>
    <sheetView workbookViewId="0">
      <selection activeCell="G1" sqref="G1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104</v>
      </c>
      <c r="D2" s="10"/>
      <c r="E2" s="11" t="b">
        <v>0</v>
      </c>
      <c r="F2" s="12"/>
      <c r="G2" s="13">
        <f>IF(C2&lt;&gt;"", M8, 0)</f>
        <v>29</v>
      </c>
      <c r="H2" s="13"/>
      <c r="I2" s="13"/>
      <c r="J2" s="14">
        <f>SUM(G2:I2)</f>
        <v>29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105</v>
      </c>
      <c r="D3" s="9"/>
      <c r="E3" s="11" t="b">
        <v>0</v>
      </c>
      <c r="F3" s="9"/>
      <c r="G3" s="13">
        <f>IF(C3&lt;&gt;"", M8, 0)</f>
        <v>29</v>
      </c>
      <c r="H3" s="13"/>
      <c r="I3" s="13"/>
      <c r="J3" s="14">
        <f>SUM(G3:I3)</f>
        <v>29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92</v>
      </c>
      <c r="D4" s="9"/>
      <c r="E4" s="11" t="b">
        <v>0</v>
      </c>
      <c r="F4" s="64" t="s">
        <v>93</v>
      </c>
      <c r="G4" s="13">
        <f>IF(C4&lt;&gt;"", M8, 0)</f>
        <v>29</v>
      </c>
      <c r="H4" s="13"/>
      <c r="I4" s="13">
        <v>10</v>
      </c>
      <c r="J4" s="14">
        <f>SUM(G4:I4)</f>
        <v>39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57</v>
      </c>
      <c r="D5" s="9"/>
      <c r="E5" s="11" t="b">
        <v>0</v>
      </c>
      <c r="F5" s="9"/>
      <c r="G5" s="13">
        <f>IF(C5&lt;&gt;"", M8, 0)</f>
        <v>29</v>
      </c>
      <c r="H5" s="13"/>
      <c r="I5" s="13"/>
      <c r="J5" s="14">
        <f>SUM(G5:I5)</f>
        <v>29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/>
      <c r="I6" s="13"/>
      <c r="J6" s="14">
        <f>SUM(G6:I6)</f>
        <v>0</v>
      </c>
      <c r="K6" s="20"/>
      <c r="L6" s="24" t="s">
        <v>37</v>
      </c>
      <c r="M6" s="71">
        <f>COUNTA(C2:C16)</f>
        <v>9</v>
      </c>
      <c r="N6" s="71"/>
      <c r="O6" s="25"/>
    </row>
    <row r="7" spans="1:17" ht="15">
      <c r="A7" s="7">
        <v>6</v>
      </c>
      <c r="B7" s="8" t="s">
        <v>21</v>
      </c>
      <c r="C7" s="9" t="s">
        <v>106</v>
      </c>
      <c r="D7" s="9"/>
      <c r="E7" s="11" t="b">
        <v>1</v>
      </c>
      <c r="F7" s="40" t="s">
        <v>107</v>
      </c>
      <c r="G7" s="13">
        <f>IF(C7&lt;&gt;"", M8, 0)</f>
        <v>29</v>
      </c>
      <c r="H7" s="13"/>
      <c r="I7" s="13"/>
      <c r="J7" s="14">
        <f>SUM(G7:I7)</f>
        <v>29</v>
      </c>
      <c r="K7" s="20"/>
      <c r="L7" s="26" t="s">
        <v>38</v>
      </c>
      <c r="M7" s="67">
        <f>M19+M20-10</f>
        <v>259</v>
      </c>
      <c r="N7" s="67"/>
      <c r="O7" s="27"/>
    </row>
    <row r="8" spans="1:17" ht="15">
      <c r="A8" s="7">
        <v>7</v>
      </c>
      <c r="B8" s="8" t="s">
        <v>22</v>
      </c>
      <c r="C8" s="9" t="s">
        <v>108</v>
      </c>
      <c r="D8" s="9"/>
      <c r="E8" s="11" t="b">
        <v>1</v>
      </c>
      <c r="F8" s="9"/>
      <c r="G8" s="13">
        <f>IF(C7&lt;&gt;"", M8, 0)</f>
        <v>29</v>
      </c>
      <c r="H8" s="13"/>
      <c r="I8" s="13"/>
      <c r="J8" s="14">
        <f>SUM(G8:I8)</f>
        <v>29</v>
      </c>
      <c r="K8" s="20"/>
      <c r="L8" s="26" t="s">
        <v>39</v>
      </c>
      <c r="M8" s="67">
        <f>ROUND(M7/M6,0)</f>
        <v>29</v>
      </c>
      <c r="N8" s="67"/>
      <c r="O8" s="21"/>
    </row>
    <row r="9" spans="1:17" ht="15">
      <c r="A9" s="7">
        <v>8</v>
      </c>
      <c r="B9" s="8" t="s">
        <v>23</v>
      </c>
      <c r="C9" s="9" t="s">
        <v>109</v>
      </c>
      <c r="D9" s="9"/>
      <c r="E9" s="11" t="b">
        <v>1</v>
      </c>
      <c r="F9" s="9" t="s">
        <v>110</v>
      </c>
      <c r="G9" s="13">
        <f>IF(C9&lt;&gt;"", M8, 0)</f>
        <v>29</v>
      </c>
      <c r="H9" s="13"/>
      <c r="J9" s="14">
        <f>SUM(G9:I9)</f>
        <v>29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111</v>
      </c>
      <c r="D10" s="9"/>
      <c r="E10" s="11" t="b">
        <v>1</v>
      </c>
      <c r="F10" s="32"/>
      <c r="G10" s="13">
        <f>IF(C10&lt;&gt;"", M8, 0)</f>
        <v>29</v>
      </c>
      <c r="H10" s="13"/>
      <c r="I10" s="13"/>
      <c r="J10" s="14">
        <f>SUM(G10:I10)</f>
        <v>29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1</v>
      </c>
      <c r="F11" s="9"/>
      <c r="G11" s="13">
        <f>IF(C11&lt;&gt;"", M8, 0)</f>
        <v>0</v>
      </c>
      <c r="H11" s="13"/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 t="s">
        <v>112</v>
      </c>
      <c r="D12" s="33"/>
      <c r="E12" s="11" t="b">
        <v>1</v>
      </c>
      <c r="F12" s="13"/>
      <c r="G12" s="13">
        <f>IF(C12&lt;&gt;"", M8, 0)</f>
        <v>29</v>
      </c>
      <c r="H12" s="13"/>
      <c r="J12" s="14">
        <f>SUM(G12:I12)</f>
        <v>29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261</v>
      </c>
      <c r="H18" s="20"/>
      <c r="I18" s="20"/>
      <c r="J18" s="35">
        <f>SUM(J2:J16)</f>
        <v>271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6</v>
      </c>
      <c r="F19" s="20"/>
      <c r="G19" s="37"/>
      <c r="H19" s="20"/>
      <c r="I19" s="20"/>
      <c r="J19" s="35"/>
      <c r="K19" s="35"/>
      <c r="L19" s="35" t="s">
        <v>17</v>
      </c>
      <c r="M19">
        <v>269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13:E16 D12:E12 C2:E11">
    <cfRule type="notContainsBlanks" dxfId="51" priority="3">
      <formula>LEN(TRIM(C2))&gt;0</formula>
    </cfRule>
    <cfRule type="containsBlanks" dxfId="50" priority="4">
      <formula>LEN(TRIM(C2))=0</formula>
    </cfRule>
  </conditionalFormatting>
  <conditionalFormatting sqref="C12">
    <cfRule type="notContainsBlanks" dxfId="49" priority="1">
      <formula>LEN(TRIM(C12))&gt;0</formula>
    </cfRule>
    <cfRule type="containsBlanks" dxfId="48" priority="2">
      <formula>LEN(TRIM(C12))=0</formula>
    </cfRule>
  </conditionalFormatting>
  <hyperlinks>
    <hyperlink ref="G1" r:id="rId1" xr:uid="{338A8EDD-2346-446E-BEB1-CA5B8A847884}"/>
    <hyperlink ref="H1" r:id="rId2" xr:uid="{7A0A5B8A-E4F6-4377-B978-FFC3FCF8B20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232CD-5D15-49C7-9E53-43AB39C4E968}">
  <dimension ref="A1:Q24"/>
  <sheetViews>
    <sheetView workbookViewId="0">
      <selection activeCell="F22" sqref="F22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113</v>
      </c>
      <c r="D2" s="10"/>
      <c r="E2" s="11" t="b">
        <v>1</v>
      </c>
      <c r="F2" s="12"/>
      <c r="G2" s="13">
        <f>IF(C2&lt;&gt;"", M8, 0)</f>
        <v>25</v>
      </c>
      <c r="H2" s="13"/>
      <c r="I2" s="13"/>
      <c r="J2" s="14">
        <f>SUM(G2:I2)</f>
        <v>25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113</v>
      </c>
      <c r="D3" s="9"/>
      <c r="E3" s="11" t="b">
        <v>1</v>
      </c>
      <c r="F3" s="9"/>
      <c r="G3" s="13">
        <f>IF(C3&lt;&gt;"", M8, 0)</f>
        <v>25</v>
      </c>
      <c r="H3" s="13"/>
      <c r="I3" s="13">
        <v>10</v>
      </c>
      <c r="J3" s="14">
        <f>SUM(G3:I3)</f>
        <v>35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114</v>
      </c>
      <c r="D4" s="9"/>
      <c r="E4" s="11" t="b">
        <v>1</v>
      </c>
      <c r="F4" s="64" t="s">
        <v>66</v>
      </c>
      <c r="G4" s="13">
        <f>IF(C4&lt;&gt;"", M8, 0)</f>
        <v>25</v>
      </c>
      <c r="H4" s="13"/>
      <c r="I4" s="13"/>
      <c r="J4" s="14">
        <f>SUM(G4:I4)</f>
        <v>25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115</v>
      </c>
      <c r="D5" s="9"/>
      <c r="E5" s="11" t="b">
        <v>1</v>
      </c>
      <c r="F5" s="9"/>
      <c r="G5" s="13">
        <f>IF(C5&lt;&gt;"", M8, 0)</f>
        <v>25</v>
      </c>
      <c r="H5" s="13"/>
      <c r="I5" s="13"/>
      <c r="J5" s="14">
        <f>SUM(G5:I5)</f>
        <v>25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 t="s">
        <v>116</v>
      </c>
      <c r="D6" s="9"/>
      <c r="E6" s="11" t="b">
        <v>1</v>
      </c>
      <c r="F6" s="23"/>
      <c r="G6" s="13">
        <f>IF(C6&lt;&gt;"", M8, 0)</f>
        <v>25</v>
      </c>
      <c r="H6" s="13"/>
      <c r="I6" s="13"/>
      <c r="J6" s="14">
        <f>SUM(G6:I6)</f>
        <v>25</v>
      </c>
      <c r="K6" s="20"/>
      <c r="L6" s="24" t="s">
        <v>37</v>
      </c>
      <c r="M6" s="71">
        <f>COUNTA(C2:C16)</f>
        <v>9</v>
      </c>
      <c r="N6" s="71"/>
      <c r="O6" s="25"/>
    </row>
    <row r="7" spans="1:17" ht="15">
      <c r="A7" s="7">
        <v>6</v>
      </c>
      <c r="B7" s="8" t="s">
        <v>21</v>
      </c>
      <c r="C7" s="9" t="s">
        <v>117</v>
      </c>
      <c r="D7" s="9"/>
      <c r="E7" s="11" t="b">
        <v>1</v>
      </c>
      <c r="F7" s="40" t="s">
        <v>118</v>
      </c>
      <c r="G7" s="13">
        <f>IF(C7&lt;&gt;"", M8, 0)</f>
        <v>25</v>
      </c>
      <c r="H7" s="13"/>
      <c r="I7" s="13">
        <v>10</v>
      </c>
      <c r="J7" s="14">
        <f>SUM(G7:I7)</f>
        <v>35</v>
      </c>
      <c r="K7" s="20"/>
      <c r="L7" s="26" t="s">
        <v>38</v>
      </c>
      <c r="M7" s="67">
        <f>M19+M20-20</f>
        <v>229</v>
      </c>
      <c r="N7" s="67"/>
      <c r="O7" s="27"/>
    </row>
    <row r="8" spans="1:17" ht="15">
      <c r="A8" s="7">
        <v>7</v>
      </c>
      <c r="B8" s="8" t="s">
        <v>22</v>
      </c>
      <c r="C8" s="9" t="s">
        <v>116</v>
      </c>
      <c r="D8" s="9"/>
      <c r="E8" s="11" t="b">
        <v>1</v>
      </c>
      <c r="F8" s="9"/>
      <c r="G8" s="13">
        <f>IF(C8&lt;&gt;"", M8, 0)</f>
        <v>25</v>
      </c>
      <c r="H8" s="13"/>
      <c r="I8" s="13"/>
      <c r="J8" s="14">
        <f>SUM(G8:I8)</f>
        <v>25</v>
      </c>
      <c r="K8" s="20"/>
      <c r="L8" s="26" t="s">
        <v>39</v>
      </c>
      <c r="M8" s="67">
        <f>ROUND(M7/M6,0)</f>
        <v>25</v>
      </c>
      <c r="N8" s="67"/>
      <c r="O8" s="21"/>
    </row>
    <row r="9" spans="1:17" ht="15">
      <c r="A9" s="7">
        <v>8</v>
      </c>
      <c r="B9" s="8" t="s">
        <v>23</v>
      </c>
      <c r="C9" s="9" t="s">
        <v>119</v>
      </c>
      <c r="D9" s="9"/>
      <c r="E9" s="11" t="b">
        <v>1</v>
      </c>
      <c r="F9" s="9"/>
      <c r="G9" s="13">
        <f>IF(C9&lt;&gt;"", M8, 0)</f>
        <v>25</v>
      </c>
      <c r="H9" s="13"/>
      <c r="J9" s="14">
        <f>SUM(G9:I9)</f>
        <v>25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1</v>
      </c>
      <c r="F10" s="32" t="s">
        <v>120</v>
      </c>
      <c r="G10" s="13">
        <f>IF(C10&lt;&gt;"", M8, 0)</f>
        <v>0</v>
      </c>
      <c r="H10" s="13"/>
      <c r="I10" s="13"/>
      <c r="J10" s="14">
        <f>SUM(G10:I10)</f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/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41</v>
      </c>
      <c r="C12" s="9" t="s">
        <v>112</v>
      </c>
      <c r="D12" s="33"/>
      <c r="E12" s="11" t="b">
        <v>1</v>
      </c>
      <c r="F12" s="13"/>
      <c r="G12" s="13">
        <f>IF(C12&lt;&gt;"", M8, 0)</f>
        <v>25</v>
      </c>
      <c r="H12" s="13"/>
      <c r="J12" s="14">
        <f>SUM(G12:I12)</f>
        <v>25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 t="s">
        <v>42</v>
      </c>
      <c r="C13" s="9"/>
      <c r="D13" s="9"/>
      <c r="E13" s="11" t="b">
        <v>0</v>
      </c>
      <c r="F13" s="9"/>
      <c r="G13" s="13"/>
      <c r="H13" s="13"/>
      <c r="I13" s="13"/>
      <c r="J13" s="14"/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/>
      <c r="H14" s="13"/>
      <c r="I14" s="13"/>
      <c r="J14" s="14"/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/>
      <c r="H15" s="13"/>
      <c r="I15" s="13"/>
      <c r="J15" s="14"/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/>
      <c r="H16" s="13"/>
      <c r="I16" s="13"/>
      <c r="J16" s="14"/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225</v>
      </c>
      <c r="H18" s="20"/>
      <c r="I18" s="20"/>
      <c r="J18" s="35">
        <f>SUM(J2:J16)</f>
        <v>245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10</v>
      </c>
      <c r="F19" s="20"/>
      <c r="G19" s="37"/>
      <c r="H19" s="20"/>
      <c r="I19" s="20"/>
      <c r="J19" s="35"/>
      <c r="K19" s="35"/>
      <c r="L19" s="35" t="s">
        <v>17</v>
      </c>
      <c r="M19">
        <v>249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43.5">
      <c r="A22" s="20"/>
      <c r="B22" s="46" t="s">
        <v>121</v>
      </c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47" priority="1">
      <formula>LEN(TRIM(C2))&gt;0</formula>
    </cfRule>
    <cfRule type="containsBlanks" dxfId="46" priority="2">
      <formula>LEN(TRIM(C2))=0</formula>
    </cfRule>
  </conditionalFormatting>
  <hyperlinks>
    <hyperlink ref="G1" r:id="rId1" xr:uid="{48EDAEC3-18E2-4280-AED0-882C4B086A49}"/>
    <hyperlink ref="H1" r:id="rId2" xr:uid="{5E7667E3-5394-4CEF-95F7-AE5E691D376F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CECE-70D4-419C-9AB0-BCC1A239CE3E}">
  <dimension ref="A1:Q24"/>
  <sheetViews>
    <sheetView workbookViewId="0">
      <selection activeCell="J2" sqref="J2:J13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122</v>
      </c>
      <c r="D2" s="10"/>
      <c r="E2" s="11" t="b">
        <v>0</v>
      </c>
      <c r="F2" s="12"/>
      <c r="G2" s="13">
        <f>IF(C2&lt;&gt;"", M8, 0)</f>
        <v>32</v>
      </c>
      <c r="H2" s="13">
        <f>IF(D2&lt;&gt;"", M14, 0)</f>
        <v>0</v>
      </c>
      <c r="I2" s="13"/>
      <c r="J2" s="14">
        <f>SUM(G2:I2)</f>
        <v>32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/>
      <c r="D3" s="9"/>
      <c r="E3" s="11" t="b">
        <v>0</v>
      </c>
      <c r="F3" s="9"/>
      <c r="G3" s="13">
        <f>IF(C3&lt;&gt;"", M8, 0)</f>
        <v>0</v>
      </c>
      <c r="H3" s="13">
        <f>IF(D3&lt;&gt;"", M14, 0)</f>
        <v>0</v>
      </c>
      <c r="I3" s="13"/>
      <c r="J3" s="14">
        <f>SUM(G3:I3)</f>
        <v>0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123</v>
      </c>
      <c r="D4" s="9"/>
      <c r="E4" s="11" t="b">
        <v>0</v>
      </c>
      <c r="F4" s="64" t="s">
        <v>124</v>
      </c>
      <c r="G4" s="13">
        <f>IF(C4&lt;&gt;"", M8, 0)</f>
        <v>32</v>
      </c>
      <c r="H4" s="13">
        <f>IF(D4&lt;&gt;"", M14, 0)</f>
        <v>0</v>
      </c>
      <c r="I4" s="13">
        <v>15</v>
      </c>
      <c r="J4" s="14">
        <f>SUM(G4:I4)</f>
        <v>47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125</v>
      </c>
      <c r="D5" s="9"/>
      <c r="E5" s="11" t="b">
        <v>0</v>
      </c>
      <c r="F5" s="9"/>
      <c r="G5" s="13">
        <f>IF(C5&lt;&gt;"", M8, 0)</f>
        <v>32</v>
      </c>
      <c r="H5" s="13">
        <f>IF(D5&lt;&gt;"", M14, 0)</f>
        <v>0</v>
      </c>
      <c r="I5" s="13"/>
      <c r="J5" s="14">
        <f>SUM(G5:I5)</f>
        <v>32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>
        <f>IF(D6&lt;&gt;"", M14, 0)</f>
        <v>0</v>
      </c>
      <c r="I6" s="13"/>
      <c r="J6" s="14">
        <f>SUM(G6:I6)</f>
        <v>0</v>
      </c>
      <c r="K6" s="20"/>
      <c r="L6" s="24" t="s">
        <v>37</v>
      </c>
      <c r="M6" s="71">
        <f>COUNTA(C2:C16)</f>
        <v>4</v>
      </c>
      <c r="N6" s="71"/>
      <c r="O6" s="25"/>
    </row>
    <row r="7" spans="1:17" ht="15">
      <c r="A7" s="7">
        <v>6</v>
      </c>
      <c r="B7" s="8" t="s">
        <v>21</v>
      </c>
      <c r="C7" s="9"/>
      <c r="D7" s="9"/>
      <c r="E7" s="11" t="b">
        <v>0</v>
      </c>
      <c r="F7" s="40"/>
      <c r="G7" s="13">
        <f>IF(C7&lt;&gt;"", M8, 0)</f>
        <v>0</v>
      </c>
      <c r="H7" s="13">
        <f>IF(D7&lt;&gt;"", M14, 0)</f>
        <v>0</v>
      </c>
      <c r="I7" s="13"/>
      <c r="J7" s="14">
        <f>SUM(G7:I7)</f>
        <v>0</v>
      </c>
      <c r="K7" s="20"/>
      <c r="L7" s="26" t="s">
        <v>38</v>
      </c>
      <c r="M7" s="67">
        <f>M19+M20-15</f>
        <v>126</v>
      </c>
      <c r="N7" s="67"/>
      <c r="O7" s="27"/>
    </row>
    <row r="8" spans="1:17" ht="15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IF(C8&lt;&gt;"", M8, 0)</f>
        <v>0</v>
      </c>
      <c r="H8" s="13">
        <f>IF(D8&lt;&gt;"", M14, 0)</f>
        <v>0</v>
      </c>
      <c r="I8" s="13"/>
      <c r="J8" s="14">
        <f>SUM(G8:I8)</f>
        <v>0</v>
      </c>
      <c r="K8" s="20"/>
      <c r="L8" s="26" t="s">
        <v>39</v>
      </c>
      <c r="M8" s="67">
        <f>ROUND(M7/M6,0)</f>
        <v>32</v>
      </c>
      <c r="N8" s="67"/>
      <c r="O8" s="21"/>
    </row>
    <row r="9" spans="1:17" ht="15">
      <c r="A9" s="7">
        <v>8</v>
      </c>
      <c r="B9" s="8" t="s">
        <v>23</v>
      </c>
      <c r="C9" s="9" t="s">
        <v>98</v>
      </c>
      <c r="D9" s="9"/>
      <c r="E9" s="11" t="b">
        <v>0</v>
      </c>
      <c r="F9" s="9"/>
      <c r="G9" s="13">
        <f>IF(C9&lt;&gt;"", M8, 0)</f>
        <v>32</v>
      </c>
      <c r="H9" s="13">
        <f>IF(D9&lt;&gt;"", M14, 0)</f>
        <v>0</v>
      </c>
      <c r="J9" s="14">
        <f>SUM(G9:I9)</f>
        <v>32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/>
      <c r="G10" s="13">
        <f>IF(C10&lt;&gt;"", M8, 0)</f>
        <v>0</v>
      </c>
      <c r="H10" s="13">
        <f>IF(D10&lt;&gt;"", M14, 0)</f>
        <v>0</v>
      </c>
      <c r="I10" s="13"/>
      <c r="J10" s="14">
        <f>SUM(G10:I10)</f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>
        <f>IF(D11&lt;&gt;"", M14, 0)</f>
        <v>0</v>
      </c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126</v>
      </c>
      <c r="C12" s="9"/>
      <c r="D12" s="33"/>
      <c r="E12" s="11" t="b">
        <v>0</v>
      </c>
      <c r="F12" s="13"/>
      <c r="G12" s="13">
        <f>IF(C12&lt;&gt;"", M8, 0)</f>
        <v>0</v>
      </c>
      <c r="H12" s="13">
        <f>IF(D12&lt;&gt;"", M14, 0)</f>
        <v>0</v>
      </c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>SUM(G13:I13)</f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>SUM(G14:I14)</f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>SUM(G15:I15)</f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>SUM(G16:I16)</f>
        <v>0</v>
      </c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128</v>
      </c>
      <c r="H18" s="20"/>
      <c r="I18" s="20"/>
      <c r="J18" s="35">
        <f>SUM(J2:J16)</f>
        <v>143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0</v>
      </c>
      <c r="F19" s="20"/>
      <c r="G19" s="37"/>
      <c r="H19" s="20"/>
      <c r="I19" s="20"/>
      <c r="J19" s="35"/>
      <c r="K19" s="35"/>
      <c r="L19" s="35" t="s">
        <v>17</v>
      </c>
      <c r="M19">
        <v>141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45" priority="1">
      <formula>LEN(TRIM(C2))&gt;0</formula>
    </cfRule>
    <cfRule type="containsBlanks" dxfId="44" priority="2">
      <formula>LEN(TRIM(C2))=0</formula>
    </cfRule>
  </conditionalFormatting>
  <hyperlinks>
    <hyperlink ref="G1" r:id="rId1" xr:uid="{AFF69909-5B60-41E6-8802-A306D67EEBBB}"/>
    <hyperlink ref="H1" r:id="rId2" xr:uid="{83A16D86-4668-4032-AAC4-CB47BA9E08A2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DFC8-53F1-45A2-B45D-2D6EB1A3BF24}">
  <dimension ref="A1:Q24"/>
  <sheetViews>
    <sheetView workbookViewId="0">
      <selection activeCell="A18" sqref="A18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127</v>
      </c>
      <c r="D2" s="10"/>
      <c r="E2" s="11" t="b">
        <v>0</v>
      </c>
      <c r="F2" s="12"/>
      <c r="G2" s="13">
        <f>IF(C2&lt;&gt;"", M8, 0)</f>
        <v>27</v>
      </c>
      <c r="H2" s="13">
        <f>IF(D2&lt;&gt;"", M14, 0)</f>
        <v>0</v>
      </c>
      <c r="I2" s="13"/>
      <c r="J2" s="14">
        <f>SUM(G2:I2)</f>
        <v>27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70</v>
      </c>
      <c r="D3" s="9"/>
      <c r="E3" s="11" t="b">
        <v>0</v>
      </c>
      <c r="F3" s="9"/>
      <c r="G3" s="13">
        <f>IF(C3&lt;&gt;"", M8, 0)</f>
        <v>27</v>
      </c>
      <c r="H3" s="13">
        <f>IF(D3&lt;&gt;"", M14, 0)</f>
        <v>0</v>
      </c>
      <c r="I3" s="13"/>
      <c r="J3" s="14">
        <f>SUM(G3:I3)</f>
        <v>27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67</v>
      </c>
      <c r="D4" s="9"/>
      <c r="E4" s="11" t="b">
        <v>0</v>
      </c>
      <c r="F4" s="64" t="s">
        <v>128</v>
      </c>
      <c r="G4" s="13">
        <f>IF(C4&lt;&gt;"", M8, 0)</f>
        <v>27</v>
      </c>
      <c r="H4" s="13">
        <f>IF(D4&lt;&gt;"", M14, 0)</f>
        <v>0</v>
      </c>
      <c r="I4" s="13"/>
      <c r="J4" s="14">
        <f>SUM(G4:I4)</f>
        <v>27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57</v>
      </c>
      <c r="D5" s="9"/>
      <c r="E5" s="11" t="b">
        <v>0</v>
      </c>
      <c r="F5" s="9"/>
      <c r="G5" s="13">
        <f>IF(C5&lt;&gt;"", M8, 0)</f>
        <v>27</v>
      </c>
      <c r="H5" s="13">
        <f>IF(D5&lt;&gt;"", M14, 0)</f>
        <v>0</v>
      </c>
      <c r="I5" s="13"/>
      <c r="J5" s="14">
        <f>SUM(G5:I5)</f>
        <v>27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>
        <f>IF(D6&lt;&gt;"", M14, 0)</f>
        <v>0</v>
      </c>
      <c r="I6" s="13"/>
      <c r="J6" s="14">
        <f>SUM(G6:I6)</f>
        <v>0</v>
      </c>
      <c r="K6" s="20"/>
      <c r="L6" s="24" t="s">
        <v>37</v>
      </c>
      <c r="M6" s="71">
        <f>COUNTA(C2:C16)</f>
        <v>9</v>
      </c>
      <c r="N6" s="71"/>
      <c r="O6" s="25"/>
    </row>
    <row r="7" spans="1:17" ht="15">
      <c r="A7" s="7">
        <v>6</v>
      </c>
      <c r="B7" s="8" t="s">
        <v>21</v>
      </c>
      <c r="C7" s="9" t="s">
        <v>70</v>
      </c>
      <c r="D7" s="9"/>
      <c r="E7" s="11" t="b">
        <v>1</v>
      </c>
      <c r="F7" s="40"/>
      <c r="G7" s="13">
        <f>IF(C7&lt;&gt;"", M8, 0)</f>
        <v>27</v>
      </c>
      <c r="H7" s="13">
        <f>IF(D7&lt;&gt;"", M14, 0)</f>
        <v>0</v>
      </c>
      <c r="I7" s="13"/>
      <c r="J7" s="14">
        <f>SUM(G7:I7)</f>
        <v>27</v>
      </c>
      <c r="K7" s="20"/>
      <c r="L7" s="26" t="s">
        <v>38</v>
      </c>
      <c r="M7" s="67">
        <f>M19+M20</f>
        <v>239</v>
      </c>
      <c r="N7" s="67"/>
      <c r="O7" s="27"/>
    </row>
    <row r="8" spans="1:17" ht="15">
      <c r="A8" s="7">
        <v>7</v>
      </c>
      <c r="B8" s="8" t="s">
        <v>22</v>
      </c>
      <c r="C8" s="9" t="s">
        <v>129</v>
      </c>
      <c r="D8" s="9"/>
      <c r="E8" s="11" t="b">
        <v>1</v>
      </c>
      <c r="F8" s="9"/>
      <c r="G8" s="13">
        <f>IF(C8&lt;&gt;"", M8, 0)</f>
        <v>27</v>
      </c>
      <c r="H8" s="13">
        <f>IF(D8&lt;&gt;"", M14, 0)</f>
        <v>0</v>
      </c>
      <c r="I8" s="13"/>
      <c r="J8" s="14">
        <f>SUM(G8:I8)</f>
        <v>27</v>
      </c>
      <c r="K8" s="20"/>
      <c r="L8" s="26" t="s">
        <v>39</v>
      </c>
      <c r="M8" s="67">
        <f>ROUND(M7/M6,0)</f>
        <v>27</v>
      </c>
      <c r="N8" s="67"/>
      <c r="O8" s="21"/>
    </row>
    <row r="9" spans="1:17" ht="15">
      <c r="A9" s="7">
        <v>8</v>
      </c>
      <c r="B9" s="8" t="s">
        <v>23</v>
      </c>
      <c r="C9" s="9" t="s">
        <v>130</v>
      </c>
      <c r="D9" s="9"/>
      <c r="E9" s="11" t="b">
        <v>1</v>
      </c>
      <c r="F9" s="9"/>
      <c r="G9" s="13">
        <f>IF(C9&lt;&gt;"", M8, 0)</f>
        <v>27</v>
      </c>
      <c r="H9" s="13">
        <f>IF(D9&lt;&gt;"", M14, 0)</f>
        <v>0</v>
      </c>
      <c r="J9" s="14">
        <f>SUM(G9:I9)</f>
        <v>27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 t="s">
        <v>131</v>
      </c>
      <c r="G10" s="13">
        <f>IF(C10&lt;&gt;"", M8, 0)</f>
        <v>0</v>
      </c>
      <c r="H10" s="13">
        <f>IF(D10&lt;&gt;"", M14, 0)</f>
        <v>0</v>
      </c>
      <c r="I10" s="13"/>
      <c r="J10" s="14">
        <f>SUM(G10:I10)</f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 t="s">
        <v>132</v>
      </c>
      <c r="D11" s="9"/>
      <c r="E11" s="11" t="b">
        <v>1</v>
      </c>
      <c r="F11" s="9"/>
      <c r="G11" s="13">
        <f>IF(C11&lt;&gt;"", M8, 0)</f>
        <v>27</v>
      </c>
      <c r="H11" s="13">
        <f>IF(D11&lt;&gt;"", M14, 0)</f>
        <v>0</v>
      </c>
      <c r="I11" s="13"/>
      <c r="J11" s="14">
        <f>SUM(G11:I11)</f>
        <v>27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126</v>
      </c>
      <c r="C12" s="9" t="s">
        <v>133</v>
      </c>
      <c r="D12" s="33"/>
      <c r="E12" s="11" t="b">
        <v>1</v>
      </c>
      <c r="F12" s="13"/>
      <c r="G12" s="13">
        <f>IF(C12&lt;&gt;"", M8, 0)</f>
        <v>27</v>
      </c>
      <c r="H12" s="13">
        <f>IF(D12&lt;&gt;"", M14, 0)</f>
        <v>0</v>
      </c>
      <c r="J12" s="14">
        <f>SUM(G12:I12)</f>
        <v>27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>SUM(G13:I13)</f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>SUM(G14:I14)</f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>SUM(G15:I15)</f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>SUM(G16:I16)</f>
        <v>0</v>
      </c>
      <c r="K16" s="2"/>
      <c r="L16" s="3"/>
      <c r="M16" s="15"/>
      <c r="N16" s="4"/>
      <c r="O16" s="5"/>
    </row>
    <row r="17" spans="1:15" ht="30">
      <c r="A17" s="68" t="s">
        <v>134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243</v>
      </c>
      <c r="H18" s="20"/>
      <c r="I18" s="20"/>
      <c r="J18" s="35">
        <f>SUM(J2:J16)</f>
        <v>243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5</v>
      </c>
      <c r="F19" s="20"/>
      <c r="G19" s="37"/>
      <c r="H19" s="20"/>
      <c r="I19" s="20"/>
      <c r="J19" s="35"/>
      <c r="K19" s="35"/>
      <c r="L19" s="35" t="s">
        <v>17</v>
      </c>
      <c r="M19">
        <v>239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43" priority="1">
      <formula>LEN(TRIM(C2))&gt;0</formula>
    </cfRule>
    <cfRule type="containsBlanks" dxfId="42" priority="2">
      <formula>LEN(TRIM(C2))=0</formula>
    </cfRule>
  </conditionalFormatting>
  <hyperlinks>
    <hyperlink ref="G1" r:id="rId1" xr:uid="{5C79F205-BF30-43B2-A6C8-E9D7103B90FF}"/>
    <hyperlink ref="H1" r:id="rId2" xr:uid="{F1D64978-7FD2-4409-95B9-86CEF124CD62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6E10-7C24-485A-BC48-77D99FC72067}">
  <dimension ref="A1:Q24"/>
  <sheetViews>
    <sheetView workbookViewId="0">
      <selection activeCell="F24" sqref="F24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135</v>
      </c>
      <c r="D2" s="10"/>
      <c r="E2" s="11" t="b">
        <v>1</v>
      </c>
      <c r="F2" s="12"/>
      <c r="G2" s="13">
        <f>IF(C2&lt;&gt;"", M8, 0)</f>
        <v>29</v>
      </c>
      <c r="H2" s="13">
        <f>IF(D2&lt;&gt;"", M14, 0)</f>
        <v>0</v>
      </c>
      <c r="I2" s="13"/>
      <c r="J2" s="14">
        <f>SUM(G2:I2)</f>
        <v>29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27</v>
      </c>
      <c r="D3" s="9"/>
      <c r="E3" s="11" t="b">
        <v>1</v>
      </c>
      <c r="F3" s="9"/>
      <c r="G3" s="13">
        <f>IF(C3&lt;&gt;"", M8, 0)</f>
        <v>29</v>
      </c>
      <c r="H3" s="13">
        <f>IF(D3&lt;&gt;"", M14, 0)</f>
        <v>0</v>
      </c>
      <c r="I3" s="13"/>
      <c r="J3" s="14">
        <f>SUM(G3:I3)</f>
        <v>29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63"/>
      <c r="G4" s="13">
        <f>IF(C4&lt;&gt;"", M8, 0)</f>
        <v>0</v>
      </c>
      <c r="H4" s="13">
        <f>IF(D4&lt;&gt;"", M14, 0)</f>
        <v>0</v>
      </c>
      <c r="I4" s="13"/>
      <c r="J4" s="14">
        <f>SUM(G4:I4)</f>
        <v>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57</v>
      </c>
      <c r="D5" s="9"/>
      <c r="E5" s="11" t="b">
        <v>1</v>
      </c>
      <c r="F5" s="9"/>
      <c r="G5" s="13">
        <f>IF(C5&lt;&gt;"", M8, 0)</f>
        <v>29</v>
      </c>
      <c r="H5" s="13">
        <f>IF(D5&lt;&gt;"", M14, 0)</f>
        <v>0</v>
      </c>
      <c r="I5" s="13"/>
      <c r="J5" s="14">
        <f>SUM(G5:I5)</f>
        <v>29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>
        <f>IF(D6&lt;&gt;"", M14, 0)</f>
        <v>0</v>
      </c>
      <c r="I6" s="13"/>
      <c r="J6" s="14">
        <f>SUM(G6:I6)</f>
        <v>0</v>
      </c>
      <c r="K6" s="20"/>
      <c r="L6" s="24" t="s">
        <v>37</v>
      </c>
      <c r="M6" s="71">
        <f>COUNTA(C2:C16)</f>
        <v>5</v>
      </c>
      <c r="N6" s="71"/>
      <c r="O6" s="25"/>
    </row>
    <row r="7" spans="1:17" ht="15">
      <c r="A7" s="7">
        <v>6</v>
      </c>
      <c r="B7" s="8" t="s">
        <v>21</v>
      </c>
      <c r="C7" s="9" t="s">
        <v>136</v>
      </c>
      <c r="D7" s="9"/>
      <c r="E7" s="11" t="b">
        <v>1</v>
      </c>
      <c r="F7" s="40" t="s">
        <v>137</v>
      </c>
      <c r="G7" s="13">
        <f>IF(C7&lt;&gt;"", M8, 0)</f>
        <v>29</v>
      </c>
      <c r="H7" s="13">
        <f>IF(D7&lt;&gt;"", M14, 0)</f>
        <v>0</v>
      </c>
      <c r="I7" s="13"/>
      <c r="J7" s="14">
        <f>SUM(G7:I7)</f>
        <v>29</v>
      </c>
      <c r="K7" s="20"/>
      <c r="L7" s="26" t="s">
        <v>38</v>
      </c>
      <c r="M7" s="67">
        <f>M19+M20</f>
        <v>146</v>
      </c>
      <c r="N7" s="67"/>
      <c r="O7" s="27"/>
    </row>
    <row r="8" spans="1:17" ht="15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IF(C8&lt;&gt;"", M8, 0)</f>
        <v>0</v>
      </c>
      <c r="H8" s="13">
        <f>IF(D8&lt;&gt;"", M14, 0)</f>
        <v>0</v>
      </c>
      <c r="I8" s="13"/>
      <c r="J8" s="14">
        <f>SUM(G8:I8)</f>
        <v>0</v>
      </c>
      <c r="K8" s="20"/>
      <c r="L8" s="26" t="s">
        <v>39</v>
      </c>
      <c r="M8" s="67">
        <f>ROUND(M7/M6,0)</f>
        <v>29</v>
      </c>
      <c r="N8" s="67"/>
      <c r="O8" s="21"/>
    </row>
    <row r="9" spans="1:17" ht="15">
      <c r="A9" s="7">
        <v>8</v>
      </c>
      <c r="B9" s="8" t="s">
        <v>23</v>
      </c>
      <c r="C9" s="9"/>
      <c r="D9" s="9"/>
      <c r="E9" s="11" t="b">
        <v>0</v>
      </c>
      <c r="F9" s="9"/>
      <c r="G9" s="13">
        <f>IF(C9&lt;&gt;"", M8, 0)</f>
        <v>0</v>
      </c>
      <c r="H9" s="13">
        <f>IF(D9&lt;&gt;"", M14, 0)</f>
        <v>0</v>
      </c>
      <c r="J9" s="14">
        <f>SUM(G9:I9)</f>
        <v>0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/>
      <c r="G10" s="13">
        <f>IF(C10&lt;&gt;"", M8, 0)</f>
        <v>0</v>
      </c>
      <c r="H10" s="13">
        <f>IF(D10&lt;&gt;"", M14, 0)</f>
        <v>0</v>
      </c>
      <c r="I10" s="13"/>
      <c r="J10" s="14">
        <f>SUM(G10:I10)</f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>
        <f>IF(D11&lt;&gt;"", M14, 0)</f>
        <v>0</v>
      </c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 t="s">
        <v>126</v>
      </c>
      <c r="C12" s="9" t="s">
        <v>138</v>
      </c>
      <c r="D12" s="33"/>
      <c r="E12" s="11" t="b">
        <v>1</v>
      </c>
      <c r="F12" s="13" t="s">
        <v>139</v>
      </c>
      <c r="G12" s="13">
        <f>IF(C12&lt;&gt;"", M8, 0)</f>
        <v>29</v>
      </c>
      <c r="H12" s="13">
        <f>IF(D12&lt;&gt;"", M14, 0)</f>
        <v>0</v>
      </c>
      <c r="J12" s="14">
        <f>SUM(G12:I12)</f>
        <v>29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>SUM(G13:I13)</f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>SUM(G14:I14)</f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>SUM(G15:I15)</f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>SUM(G16:I16)</f>
        <v>0</v>
      </c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145</v>
      </c>
      <c r="H18" s="20"/>
      <c r="I18" s="20"/>
      <c r="J18" s="35">
        <f>SUM(J2:J16)</f>
        <v>145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5</v>
      </c>
      <c r="F19" s="20"/>
      <c r="G19" s="37"/>
      <c r="H19" s="20"/>
      <c r="I19" s="20"/>
      <c r="J19" s="35"/>
      <c r="K19" s="35"/>
      <c r="L19" s="35" t="s">
        <v>17</v>
      </c>
      <c r="M19">
        <v>146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41" priority="1">
      <formula>LEN(TRIM(C2))&gt;0</formula>
    </cfRule>
    <cfRule type="containsBlanks" dxfId="40" priority="2">
      <formula>LEN(TRIM(C2))=0</formula>
    </cfRule>
  </conditionalFormatting>
  <hyperlinks>
    <hyperlink ref="G1" r:id="rId1" xr:uid="{DC0F4B05-F9A5-4AC2-90ED-627D5A0430EB}"/>
    <hyperlink ref="H1" r:id="rId2" xr:uid="{42284AD5-A2C1-47DF-9D91-A3292B85A7E7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0193-31B6-43A6-852C-E6A96D5C707F}">
  <dimension ref="A1:Q24"/>
  <sheetViews>
    <sheetView workbookViewId="0">
      <selection activeCell="G1" sqref="G1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78</v>
      </c>
      <c r="D2" s="10"/>
      <c r="E2" s="11" t="b">
        <v>0</v>
      </c>
      <c r="F2" s="12"/>
      <c r="G2" s="13">
        <f>IF(C2&lt;&gt;"", M8, 0)</f>
        <v>29</v>
      </c>
      <c r="H2" s="13">
        <f>IF(D2&lt;&gt;"", M14, 0)</f>
        <v>0</v>
      </c>
      <c r="I2" s="13"/>
      <c r="J2" s="14">
        <f>SUM(G2:I2)</f>
        <v>29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/>
      <c r="D3" s="9"/>
      <c r="E3" s="11" t="b">
        <v>0</v>
      </c>
      <c r="F3" s="9"/>
      <c r="G3" s="13">
        <f>IF(C3&lt;&gt;"", M8, 0)</f>
        <v>0</v>
      </c>
      <c r="H3" s="13">
        <f>IF(D3&lt;&gt;"", M14, 0)</f>
        <v>0</v>
      </c>
      <c r="I3" s="13"/>
      <c r="J3" s="14">
        <f>SUM(G3:I3)</f>
        <v>0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140</v>
      </c>
      <c r="D4" s="9"/>
      <c r="E4" s="11" t="b">
        <v>0</v>
      </c>
      <c r="F4" s="63"/>
      <c r="G4" s="13">
        <f>IF(C4&lt;&gt;"", M8, 0)</f>
        <v>29</v>
      </c>
      <c r="H4" s="13">
        <f>IF(D4&lt;&gt;"", M14, 0)</f>
        <v>0</v>
      </c>
      <c r="I4" s="13"/>
      <c r="J4" s="14">
        <f>SUM(G4:I4)</f>
        <v>29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141</v>
      </c>
      <c r="D5" s="9"/>
      <c r="E5" s="11" t="b">
        <v>0</v>
      </c>
      <c r="F5" s="9"/>
      <c r="G5" s="13">
        <f>IF(C5&lt;&gt;"", M8, 0)</f>
        <v>29</v>
      </c>
      <c r="H5" s="13">
        <f>IF(D5&lt;&gt;"", M14, 0)</f>
        <v>0</v>
      </c>
      <c r="I5" s="13"/>
      <c r="J5" s="14">
        <f>SUM(G5:I5)</f>
        <v>29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>
        <f>IF(D6&lt;&gt;"", M14, 0)</f>
        <v>0</v>
      </c>
      <c r="I6" s="13"/>
      <c r="J6" s="14">
        <f>SUM(G6:I6)</f>
        <v>0</v>
      </c>
      <c r="K6" s="20"/>
      <c r="L6" s="24" t="s">
        <v>37</v>
      </c>
      <c r="M6" s="71">
        <f>COUNTA(C2:C16)</f>
        <v>7</v>
      </c>
      <c r="N6" s="71"/>
      <c r="O6" s="25"/>
    </row>
    <row r="7" spans="1:17" ht="15">
      <c r="A7" s="7">
        <v>6</v>
      </c>
      <c r="B7" s="8" t="s">
        <v>21</v>
      </c>
      <c r="C7" s="9" t="s">
        <v>78</v>
      </c>
      <c r="D7" s="9"/>
      <c r="E7" s="11" t="b">
        <v>0</v>
      </c>
      <c r="F7" s="40"/>
      <c r="G7" s="13">
        <f>IF(C7&lt;&gt;"", M8, 0)</f>
        <v>29</v>
      </c>
      <c r="H7" s="13">
        <f>IF(D7&lt;&gt;"", M14, 0)</f>
        <v>0</v>
      </c>
      <c r="I7" s="13"/>
      <c r="J7" s="14">
        <f>SUM(G7:I7)</f>
        <v>29</v>
      </c>
      <c r="K7" s="20"/>
      <c r="L7" s="26" t="s">
        <v>38</v>
      </c>
      <c r="M7" s="67">
        <f>M19+M20</f>
        <v>200</v>
      </c>
      <c r="N7" s="67"/>
      <c r="O7" s="27"/>
    </row>
    <row r="8" spans="1:17" ht="15">
      <c r="A8" s="7">
        <v>7</v>
      </c>
      <c r="B8" s="8" t="s">
        <v>22</v>
      </c>
      <c r="C8" s="9" t="s">
        <v>142</v>
      </c>
      <c r="D8" s="9"/>
      <c r="E8" s="11" t="b">
        <v>0</v>
      </c>
      <c r="F8" s="9"/>
      <c r="G8" s="13">
        <f>IF(C8&lt;&gt;"", M8, 0)</f>
        <v>29</v>
      </c>
      <c r="H8" s="13">
        <f>IF(D8&lt;&gt;"", M14, 0)</f>
        <v>0</v>
      </c>
      <c r="I8" s="13"/>
      <c r="J8" s="14">
        <f>SUM(G8:I8)</f>
        <v>29</v>
      </c>
      <c r="K8" s="20"/>
      <c r="L8" s="26" t="s">
        <v>39</v>
      </c>
      <c r="M8" s="67">
        <f>ROUND(M7/M6,0)</f>
        <v>29</v>
      </c>
      <c r="N8" s="67"/>
      <c r="O8" s="21"/>
    </row>
    <row r="9" spans="1:17" ht="15">
      <c r="A9" s="7">
        <v>8</v>
      </c>
      <c r="B9" s="8" t="s">
        <v>23</v>
      </c>
      <c r="C9" s="9" t="s">
        <v>143</v>
      </c>
      <c r="D9" s="9"/>
      <c r="E9" s="11" t="b">
        <v>0</v>
      </c>
      <c r="F9" s="9"/>
      <c r="G9" s="13">
        <f>IF(C9&lt;&gt;"", M8, 0)</f>
        <v>29</v>
      </c>
      <c r="H9" s="13">
        <f>IF(D9&lt;&gt;"", M14, 0)</f>
        <v>0</v>
      </c>
      <c r="J9" s="14">
        <f>SUM(G9:I9)</f>
        <v>29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/>
      <c r="G10" s="13">
        <f>IF(C10&lt;&gt;"", M8, 0)</f>
        <v>0</v>
      </c>
      <c r="H10" s="13">
        <f>IF(D10&lt;&gt;"", M14, 0)</f>
        <v>0</v>
      </c>
      <c r="I10" s="13"/>
      <c r="J10" s="14">
        <f>SUM(G10:I10)</f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 t="s">
        <v>144</v>
      </c>
      <c r="D11" s="9"/>
      <c r="E11" s="11" t="b">
        <v>0</v>
      </c>
      <c r="F11" s="9"/>
      <c r="G11" s="13">
        <f>IF(C11&lt;&gt;"", M8, 0)</f>
        <v>29</v>
      </c>
      <c r="H11" s="13">
        <f>IF(D11&lt;&gt;"", M14, 0)</f>
        <v>0</v>
      </c>
      <c r="I11" s="13"/>
      <c r="J11" s="14">
        <f>SUM(G11:I11)</f>
        <v>29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M11, 0)</f>
        <v>0</v>
      </c>
      <c r="H12" s="13">
        <f>IF(D12&lt;&gt;"", M14, 0)</f>
        <v>0</v>
      </c>
      <c r="I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>SUM(G13:I13)</f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>SUM(G14:I14)</f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>SUM(G15:I15)</f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>SUM(G16:I16)</f>
        <v>0</v>
      </c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203</v>
      </c>
      <c r="H18" s="20"/>
      <c r="I18" s="20"/>
      <c r="J18" s="35">
        <f>SUM(J2:J16)</f>
        <v>203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0</v>
      </c>
      <c r="F19" s="20"/>
      <c r="G19" s="37"/>
      <c r="H19" s="20"/>
      <c r="I19" s="20"/>
      <c r="J19" s="35"/>
      <c r="K19" s="35"/>
      <c r="L19" s="35" t="s">
        <v>17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>
        <v>200</v>
      </c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200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39" priority="1">
      <formula>LEN(TRIM(C2))&gt;0</formula>
    </cfRule>
    <cfRule type="containsBlanks" dxfId="38" priority="2">
      <formula>LEN(TRIM(C2))=0</formula>
    </cfRule>
  </conditionalFormatting>
  <hyperlinks>
    <hyperlink ref="G1" r:id="rId1" xr:uid="{34052C99-E554-4E77-86B1-58E33C4FECFC}"/>
    <hyperlink ref="H1" r:id="rId2" xr:uid="{7D732B19-8289-4EBD-9BD5-50EAE4EC04CC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7A9C-3AB4-45B1-8F9E-9D764083776D}">
  <dimension ref="A1:Q24"/>
  <sheetViews>
    <sheetView workbookViewId="0">
      <selection activeCell="C8" sqref="C8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32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145</v>
      </c>
      <c r="D2" s="10"/>
      <c r="E2" s="11" t="b">
        <v>0</v>
      </c>
      <c r="F2" s="12"/>
      <c r="G2" s="13">
        <f>IF(C2&lt;&gt;"", M8, 0)</f>
        <v>26</v>
      </c>
      <c r="H2" s="13">
        <f>IF(D2&lt;&gt;"", M14, 0)</f>
        <v>0</v>
      </c>
      <c r="I2" s="13"/>
      <c r="J2" s="14">
        <f>SUM(G2:I2)</f>
        <v>26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/>
      <c r="D3" s="9"/>
      <c r="E3" s="11" t="b">
        <v>0</v>
      </c>
      <c r="F3" s="9"/>
      <c r="G3" s="13">
        <f>IF(C3&lt;&gt;"", M8, 0)</f>
        <v>0</v>
      </c>
      <c r="H3" s="13">
        <f>IF(D3&lt;&gt;"", M14, 0)</f>
        <v>0</v>
      </c>
      <c r="I3" s="13"/>
      <c r="J3" s="14">
        <f>SUM(G3:I3)</f>
        <v>0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86</v>
      </c>
      <c r="D4" s="9"/>
      <c r="E4" s="11" t="b">
        <v>1</v>
      </c>
      <c r="F4" s="63" t="s">
        <v>146</v>
      </c>
      <c r="G4" s="13">
        <f>IF(C4&lt;&gt;"", M8, 0)</f>
        <v>26</v>
      </c>
      <c r="H4" s="13">
        <f>IF(D4&lt;&gt;"", M14, 0)</f>
        <v>0</v>
      </c>
      <c r="I4" s="13">
        <v>10</v>
      </c>
      <c r="J4" s="14">
        <f>SUM(G4:I4)</f>
        <v>36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147</v>
      </c>
      <c r="D5" s="9"/>
      <c r="E5" s="11" t="b">
        <v>1</v>
      </c>
      <c r="F5" s="9"/>
      <c r="G5" s="13">
        <f>IF(C5&lt;&gt;"", M8, 0)</f>
        <v>26</v>
      </c>
      <c r="H5" s="13">
        <f>IF(D5&lt;&gt;"", M14, 0)</f>
        <v>0</v>
      </c>
      <c r="I5" s="13"/>
      <c r="J5" s="14">
        <f>SUM(G5:I5)</f>
        <v>26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>
        <f>IF(D6&lt;&gt;"", M14, 0)</f>
        <v>0</v>
      </c>
      <c r="I6" s="13"/>
      <c r="J6" s="14">
        <f>SUM(G6:I6)</f>
        <v>0</v>
      </c>
      <c r="K6" s="20"/>
      <c r="L6" s="24" t="s">
        <v>37</v>
      </c>
      <c r="M6" s="71">
        <f>COUNTA(C2:C16)</f>
        <v>7</v>
      </c>
      <c r="N6" s="71"/>
      <c r="O6" s="25"/>
    </row>
    <row r="7" spans="1:17" ht="15">
      <c r="A7" s="7">
        <v>6</v>
      </c>
      <c r="B7" s="8" t="s">
        <v>21</v>
      </c>
      <c r="C7" s="9" t="s">
        <v>148</v>
      </c>
      <c r="D7" s="9"/>
      <c r="E7" s="11" t="b">
        <v>1</v>
      </c>
      <c r="F7" s="40"/>
      <c r="G7" s="13">
        <f>IF(C7&lt;&gt;"", M8, 0)</f>
        <v>26</v>
      </c>
      <c r="H7" s="13">
        <f>IF(D7&lt;&gt;"", M14, 0)</f>
        <v>0</v>
      </c>
      <c r="I7" s="13"/>
      <c r="J7" s="14">
        <f>SUM(G7:I7)</f>
        <v>26</v>
      </c>
      <c r="K7" s="20"/>
      <c r="L7" s="26" t="s">
        <v>38</v>
      </c>
      <c r="M7" s="67">
        <f>M19-10</f>
        <v>180</v>
      </c>
      <c r="N7" s="67"/>
      <c r="O7" s="27"/>
    </row>
    <row r="8" spans="1:17" ht="15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IF(C8&lt;&gt;"", M8, 0)</f>
        <v>0</v>
      </c>
      <c r="H8" s="13">
        <f>IF(D8&lt;&gt;"", M14, 0)</f>
        <v>0</v>
      </c>
      <c r="I8" s="13"/>
      <c r="J8" s="14">
        <f>SUM(G8:I8)</f>
        <v>0</v>
      </c>
      <c r="K8" s="20"/>
      <c r="L8" s="26" t="s">
        <v>39</v>
      </c>
      <c r="M8" s="67">
        <f>ROUND(M7/M6,0)</f>
        <v>26</v>
      </c>
      <c r="N8" s="67"/>
      <c r="O8" s="21"/>
    </row>
    <row r="9" spans="1:17" ht="15">
      <c r="A9" s="7">
        <v>8</v>
      </c>
      <c r="B9" s="8" t="s">
        <v>23</v>
      </c>
      <c r="C9" s="9" t="s">
        <v>149</v>
      </c>
      <c r="D9" s="9"/>
      <c r="E9" s="11" t="b">
        <v>1</v>
      </c>
      <c r="F9" s="9"/>
      <c r="G9" s="13">
        <f>IF(C9&lt;&gt;"", M8, 0)</f>
        <v>26</v>
      </c>
      <c r="H9" s="13">
        <f>IF(D9&lt;&gt;"", M14, 0)</f>
        <v>0</v>
      </c>
      <c r="J9" s="14">
        <f>SUM(G9:I9)</f>
        <v>26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67</v>
      </c>
      <c r="D10" s="9"/>
      <c r="E10" s="11" t="b">
        <v>1</v>
      </c>
      <c r="F10" s="32"/>
      <c r="G10" s="13">
        <f>IF(C10&lt;&gt;"", M8, 0)</f>
        <v>26</v>
      </c>
      <c r="H10" s="13">
        <f>IF(D10&lt;&gt;"", M14, 0)</f>
        <v>0</v>
      </c>
      <c r="I10" s="13"/>
      <c r="J10" s="14">
        <f>SUM(G10:I10)</f>
        <v>26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 t="s">
        <v>148</v>
      </c>
      <c r="D11" s="9"/>
      <c r="E11" s="11" t="b">
        <v>1</v>
      </c>
      <c r="F11" s="9"/>
      <c r="G11" s="13">
        <f>IF(C11&lt;&gt;"", M8, 0)</f>
        <v>26</v>
      </c>
      <c r="H11" s="13">
        <f>IF(D11&lt;&gt;"", M14, 0)</f>
        <v>0</v>
      </c>
      <c r="I11" s="13"/>
      <c r="J11" s="14">
        <f>SUM(G11:I11)</f>
        <v>26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M11, 0)</f>
        <v>0</v>
      </c>
      <c r="H12" s="13">
        <f>IF(D12&lt;&gt;"", M14, 0)</f>
        <v>0</v>
      </c>
      <c r="I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>SUM(G13:I13)</f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>SUM(G14:I14)</f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>SUM(G15:I15)</f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>SUM(G16:I16)</f>
        <v>0</v>
      </c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182</v>
      </c>
      <c r="H18" s="20"/>
      <c r="I18" s="20"/>
      <c r="J18" s="35">
        <f>SUM(J2:J16)</f>
        <v>192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6</v>
      </c>
      <c r="F19" s="20"/>
      <c r="G19" s="37"/>
      <c r="H19" s="20"/>
      <c r="I19" s="20"/>
      <c r="J19" s="35"/>
      <c r="K19" s="35"/>
      <c r="L19" s="35" t="s">
        <v>17</v>
      </c>
      <c r="M19">
        <v>190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37" priority="1">
      <formula>LEN(TRIM(C2))&gt;0</formula>
    </cfRule>
    <cfRule type="containsBlanks" dxfId="36" priority="2">
      <formula>LEN(TRIM(C2))=0</formula>
    </cfRule>
  </conditionalFormatting>
  <hyperlinks>
    <hyperlink ref="G1" r:id="rId1" xr:uid="{FBE76D6D-E353-4E8A-9567-78E47DAFB6F7}"/>
    <hyperlink ref="H1" r:id="rId2" xr:uid="{55A58748-BFC2-46AC-BBDA-671A7A7F4D64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E69C-3CE9-4548-BF5F-0A3DB38F35AC}">
  <dimension ref="A1:Q24"/>
  <sheetViews>
    <sheetView workbookViewId="0">
      <selection activeCell="N24" sqref="N24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151</v>
      </c>
      <c r="D2" s="10"/>
      <c r="E2" s="11" t="b">
        <v>1</v>
      </c>
      <c r="F2" s="12"/>
      <c r="G2" s="13">
        <f>IF(C2&lt;&gt;"", M8, 0)</f>
        <v>26</v>
      </c>
      <c r="H2" s="13">
        <f>IF(D2&lt;&gt;"", M14, 0)</f>
        <v>0</v>
      </c>
      <c r="I2" s="13"/>
      <c r="J2" s="14">
        <f>SUM(G2:I2)</f>
        <v>26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152</v>
      </c>
      <c r="D3" s="9"/>
      <c r="E3" s="11" t="b">
        <v>1</v>
      </c>
      <c r="F3" s="9"/>
      <c r="G3" s="13">
        <f>IF(C3&lt;&gt;"", M8, 0)</f>
        <v>26</v>
      </c>
      <c r="H3" s="13">
        <f>IF(D3&lt;&gt;"", M14, 0)</f>
        <v>0</v>
      </c>
      <c r="I3" s="13"/>
      <c r="J3" s="14">
        <f>SUM(G3:I3)</f>
        <v>26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9"/>
      <c r="G4" s="13">
        <f>IF(C4&lt;&gt;"", M8, 0)</f>
        <v>0</v>
      </c>
      <c r="H4" s="13">
        <f>IF(D4&lt;&gt;"", M14, 0)</f>
        <v>0</v>
      </c>
      <c r="I4" s="13"/>
      <c r="J4" s="14">
        <f>SUM(G4:I4)</f>
        <v>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57</v>
      </c>
      <c r="D5" s="9"/>
      <c r="E5" s="11" t="b">
        <v>1</v>
      </c>
      <c r="F5" s="9"/>
      <c r="G5" s="13">
        <f>IF(C5&lt;&gt;"", M8, 0)</f>
        <v>26</v>
      </c>
      <c r="H5" s="13">
        <f>IF(D5&lt;&gt;"", M14, 0)</f>
        <v>0</v>
      </c>
      <c r="I5" s="13"/>
      <c r="J5" s="14">
        <f>SUM(G5:I5)</f>
        <v>26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>
        <f>IF(D6&lt;&gt;"", M14, 0)</f>
        <v>0</v>
      </c>
      <c r="I6" s="13"/>
      <c r="J6" s="14">
        <f>SUM(G6:I6)</f>
        <v>0</v>
      </c>
      <c r="K6" s="20"/>
      <c r="L6" s="24" t="s">
        <v>37</v>
      </c>
      <c r="M6" s="71">
        <f>COUNTA(C2:C16)</f>
        <v>6</v>
      </c>
      <c r="N6" s="71"/>
      <c r="O6" s="25"/>
    </row>
    <row r="7" spans="1:17" ht="15">
      <c r="A7" s="7">
        <v>6</v>
      </c>
      <c r="B7" s="8" t="s">
        <v>21</v>
      </c>
      <c r="C7" s="9" t="s">
        <v>148</v>
      </c>
      <c r="D7" s="9"/>
      <c r="E7" s="11" t="b">
        <v>1</v>
      </c>
      <c r="F7" s="40"/>
      <c r="G7" s="13">
        <f>IF(C7&lt;&gt;"", M8, 0)</f>
        <v>26</v>
      </c>
      <c r="H7" s="13">
        <f>IF(D7&lt;&gt;"", M14, 0)</f>
        <v>0</v>
      </c>
      <c r="I7" s="13"/>
      <c r="J7" s="14">
        <f>SUM(G7:I7)</f>
        <v>26</v>
      </c>
      <c r="K7" s="20"/>
      <c r="L7" s="26" t="s">
        <v>38</v>
      </c>
      <c r="M7" s="67">
        <f>M19</f>
        <v>156</v>
      </c>
      <c r="N7" s="67"/>
      <c r="O7" s="27"/>
    </row>
    <row r="8" spans="1:17" ht="15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IF(C8&lt;&gt;"", M8, 0)</f>
        <v>0</v>
      </c>
      <c r="H8" s="13">
        <f>IF(D8&lt;&gt;"", M14, 0)</f>
        <v>0</v>
      </c>
      <c r="I8" s="13"/>
      <c r="J8" s="14">
        <f>SUM(G8:I8)</f>
        <v>0</v>
      </c>
      <c r="K8" s="20"/>
      <c r="L8" s="26" t="s">
        <v>39</v>
      </c>
      <c r="M8" s="67">
        <f>ROUND(M7/M6,0)</f>
        <v>26</v>
      </c>
      <c r="N8" s="67"/>
      <c r="O8" s="21"/>
    </row>
    <row r="9" spans="1:17" ht="15">
      <c r="A9" s="7">
        <v>8</v>
      </c>
      <c r="B9" s="8" t="s">
        <v>23</v>
      </c>
      <c r="C9" s="9" t="s">
        <v>114</v>
      </c>
      <c r="D9" s="9"/>
      <c r="E9" s="11" t="b">
        <v>1</v>
      </c>
      <c r="F9" s="9"/>
      <c r="G9" s="13">
        <f>IF(C9&lt;&gt;"", M8, 0)</f>
        <v>26</v>
      </c>
      <c r="H9" s="13">
        <f>IF(D9&lt;&gt;"", M14, 0)</f>
        <v>0</v>
      </c>
      <c r="J9" s="14">
        <f>SUM(G9:I9)</f>
        <v>26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67</v>
      </c>
      <c r="D10" s="9"/>
      <c r="E10" s="11" t="b">
        <v>1</v>
      </c>
      <c r="F10" s="32"/>
      <c r="G10" s="13">
        <f>IF(C10&lt;&gt;"", M8, 0)</f>
        <v>26</v>
      </c>
      <c r="H10" s="13">
        <f>IF(D10&lt;&gt;"", M14, 0)</f>
        <v>0</v>
      </c>
      <c r="I10" s="13"/>
      <c r="J10" s="14">
        <f>SUM(G10:I10)</f>
        <v>26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>
        <f>IF(D11&lt;&gt;"", M14, 0)</f>
        <v>0</v>
      </c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M11, 0)</f>
        <v>0</v>
      </c>
      <c r="H12" s="13">
        <f>IF(D12&lt;&gt;"", M14, 0)</f>
        <v>0</v>
      </c>
      <c r="I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>SUM(G13:I13)</f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>SUM(G14:I14)</f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>SUM(G15:I15)</f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>SUM(G16:I16)</f>
        <v>0</v>
      </c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156</v>
      </c>
      <c r="H18" s="20"/>
      <c r="I18" s="20"/>
      <c r="J18" s="35">
        <f>SUM(J2:J16)</f>
        <v>156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6</v>
      </c>
      <c r="F19" s="20"/>
      <c r="G19" s="37"/>
      <c r="H19" s="20"/>
      <c r="I19" s="20"/>
      <c r="J19" s="35"/>
      <c r="K19" s="35"/>
      <c r="L19" s="35" t="s">
        <v>17</v>
      </c>
      <c r="M19">
        <v>156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35" priority="1">
      <formula>LEN(TRIM(C2))&gt;0</formula>
    </cfRule>
    <cfRule type="containsBlanks" dxfId="34" priority="2">
      <formula>LEN(TRIM(C2))=0</formula>
    </cfRule>
  </conditionalFormatting>
  <hyperlinks>
    <hyperlink ref="G1" r:id="rId1" xr:uid="{8040B174-ADF8-4E15-8D67-094C9ED33F23}"/>
    <hyperlink ref="H1" r:id="rId2" xr:uid="{3C449B3F-23C8-440E-BE03-67C28F7A47F9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8F6C-2461-4101-A470-5CC504F4B2DC}">
  <dimension ref="A1:Q24"/>
  <sheetViews>
    <sheetView workbookViewId="0">
      <selection activeCell="C9" sqref="C9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125</v>
      </c>
      <c r="D2" s="10"/>
      <c r="E2" s="11" t="b">
        <v>1</v>
      </c>
      <c r="F2" s="12"/>
      <c r="G2" s="13">
        <f>IF(C2&lt;&gt;"", M8, 0)</f>
        <v>27</v>
      </c>
      <c r="H2" s="13">
        <f>IF(D2&lt;&gt;"", M14, 0)</f>
        <v>0</v>
      </c>
      <c r="I2" s="13"/>
      <c r="J2" s="14">
        <f>SUM(G2:I2)</f>
        <v>27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/>
      <c r="D3" s="9"/>
      <c r="E3" s="11" t="b">
        <v>0</v>
      </c>
      <c r="F3" s="9"/>
      <c r="G3" s="13">
        <f>IF(C3&lt;&gt;"", M8, 0)</f>
        <v>0</v>
      </c>
      <c r="H3" s="13">
        <f>IF(D3&lt;&gt;"", M14, 0)</f>
        <v>0</v>
      </c>
      <c r="I3" s="13"/>
      <c r="J3" s="14">
        <f>SUM(G3:I3)</f>
        <v>0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9"/>
      <c r="G4" s="13">
        <f>IF(C4&lt;&gt;"", M8, 0)</f>
        <v>0</v>
      </c>
      <c r="H4" s="13">
        <f>IF(D4&lt;&gt;"", M14, 0)</f>
        <v>0</v>
      </c>
      <c r="I4" s="13"/>
      <c r="J4" s="14">
        <f>SUM(G4:I4)</f>
        <v>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57</v>
      </c>
      <c r="D5" s="9"/>
      <c r="E5" s="11" t="b">
        <v>1</v>
      </c>
      <c r="F5" s="9"/>
      <c r="G5" s="13">
        <f>IF(C5&lt;&gt;"", M8, 0)</f>
        <v>27</v>
      </c>
      <c r="H5" s="13">
        <f>IF(D5&lt;&gt;"", M14, 0)</f>
        <v>0</v>
      </c>
      <c r="I5" s="13"/>
      <c r="J5" s="14">
        <f>SUM(G5:I5)</f>
        <v>27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>
        <f>IF(D6&lt;&gt;"", M14, 0)</f>
        <v>0</v>
      </c>
      <c r="I6" s="13"/>
      <c r="J6" s="14">
        <f>SUM(G6:I6)</f>
        <v>0</v>
      </c>
      <c r="K6" s="20"/>
      <c r="L6" s="24" t="s">
        <v>37</v>
      </c>
      <c r="M6" s="71">
        <f>COUNTA(C2:C16)</f>
        <v>6</v>
      </c>
      <c r="N6" s="71"/>
      <c r="O6" s="25"/>
    </row>
    <row r="7" spans="1:17" ht="15">
      <c r="A7" s="7">
        <v>6</v>
      </c>
      <c r="B7" s="8" t="s">
        <v>21</v>
      </c>
      <c r="C7" s="9" t="s">
        <v>111</v>
      </c>
      <c r="D7" s="9"/>
      <c r="E7" s="11" t="b">
        <v>1</v>
      </c>
      <c r="F7" s="40"/>
      <c r="G7" s="13">
        <f>IF(C7&lt;&gt;"", M8, 0)</f>
        <v>27</v>
      </c>
      <c r="H7" s="13">
        <f>IF(D7&lt;&gt;"", M14, 0)</f>
        <v>0</v>
      </c>
      <c r="I7" s="13"/>
      <c r="J7" s="14">
        <f>SUM(G7:I7)</f>
        <v>27</v>
      </c>
      <c r="K7" s="20"/>
      <c r="L7" s="26" t="s">
        <v>38</v>
      </c>
      <c r="M7" s="67">
        <f>M19</f>
        <v>163</v>
      </c>
      <c r="N7" s="67"/>
      <c r="O7" s="27"/>
    </row>
    <row r="8" spans="1:17" ht="15">
      <c r="A8" s="7">
        <v>7</v>
      </c>
      <c r="B8" s="8" t="s">
        <v>22</v>
      </c>
      <c r="C8" s="9" t="s">
        <v>125</v>
      </c>
      <c r="D8" s="9"/>
      <c r="E8" s="11" t="b">
        <v>1</v>
      </c>
      <c r="F8" s="9"/>
      <c r="G8" s="13">
        <f>IF(C8&lt;&gt;"", M8, 0)</f>
        <v>27</v>
      </c>
      <c r="H8" s="13">
        <f>IF(D8&lt;&gt;"", M14, 0)</f>
        <v>0</v>
      </c>
      <c r="I8" s="13"/>
      <c r="J8" s="14">
        <f>SUM(G8:I8)</f>
        <v>27</v>
      </c>
      <c r="K8" s="20"/>
      <c r="L8" s="26" t="s">
        <v>39</v>
      </c>
      <c r="M8" s="67">
        <f>ROUND(M7/M6,0)</f>
        <v>27</v>
      </c>
      <c r="N8" s="67"/>
      <c r="O8" s="21"/>
    </row>
    <row r="9" spans="1:17" ht="15">
      <c r="A9" s="7">
        <v>8</v>
      </c>
      <c r="B9" s="8" t="s">
        <v>23</v>
      </c>
      <c r="C9" s="9" t="s">
        <v>153</v>
      </c>
      <c r="D9" s="9"/>
      <c r="E9" s="11" t="b">
        <v>1</v>
      </c>
      <c r="F9" s="9"/>
      <c r="G9" s="13">
        <f>IF(C9&lt;&gt;"", M8, 0)</f>
        <v>27</v>
      </c>
      <c r="H9" s="13">
        <f>IF(D9&lt;&gt;"", M14, 0)</f>
        <v>0</v>
      </c>
      <c r="J9" s="14">
        <f>SUM(G9:I9)</f>
        <v>27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125</v>
      </c>
      <c r="D10" s="9"/>
      <c r="E10" s="11" t="b">
        <v>1</v>
      </c>
      <c r="F10" s="32"/>
      <c r="G10" s="13">
        <f>IF(C10&lt;&gt;"", M8, 0)</f>
        <v>27</v>
      </c>
      <c r="H10" s="13">
        <f>IF(D10&lt;&gt;"", M14, 0)</f>
        <v>0</v>
      </c>
      <c r="I10" s="13"/>
      <c r="J10" s="14">
        <f>SUM(G10:I10)</f>
        <v>27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>
        <f>IF(D11&lt;&gt;"", M14, 0)</f>
        <v>0</v>
      </c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M11, 0)</f>
        <v>0</v>
      </c>
      <c r="H12" s="13">
        <f>IF(D12&lt;&gt;"", M14, 0)</f>
        <v>0</v>
      </c>
      <c r="I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>SUM(G13:I13)</f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>SUM(G14:I14)</f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>SUM(G15:I15)</f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>SUM(G16:I16)</f>
        <v>0</v>
      </c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162</v>
      </c>
      <c r="H18" s="20"/>
      <c r="I18" s="20"/>
      <c r="J18" s="35">
        <f>SUM(J2:J16)</f>
        <v>162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6</v>
      </c>
      <c r="F19" s="20"/>
      <c r="G19" s="37"/>
      <c r="H19" s="20"/>
      <c r="I19" s="20"/>
      <c r="J19" s="35"/>
      <c r="K19" s="35"/>
      <c r="L19" s="35" t="s">
        <v>17</v>
      </c>
      <c r="M19">
        <v>163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33" priority="1">
      <formula>LEN(TRIM(C2))&gt;0</formula>
    </cfRule>
    <cfRule type="containsBlanks" dxfId="32" priority="2">
      <formula>LEN(TRIM(C2))=0</formula>
    </cfRule>
  </conditionalFormatting>
  <hyperlinks>
    <hyperlink ref="G1" r:id="rId1" xr:uid="{5D059C94-9249-42A2-BE83-F08BD2AC8DD0}"/>
    <hyperlink ref="H1" r:id="rId2" xr:uid="{CB3E7B40-94DF-403E-AB65-9E877D05723B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3D47-145D-4C37-92C8-EFFF019BAA4D}">
  <dimension ref="A1:Q24"/>
  <sheetViews>
    <sheetView workbookViewId="0">
      <selection activeCell="F21" sqref="F21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154</v>
      </c>
      <c r="D2" s="10"/>
      <c r="E2" s="11" t="b">
        <v>1</v>
      </c>
      <c r="F2" s="12"/>
      <c r="G2" s="13">
        <f>IF(C2&lt;&gt;"", M8, 0)</f>
        <v>29</v>
      </c>
      <c r="H2" s="13">
        <f>IF(D2&lt;&gt;"", M14, 0)</f>
        <v>0</v>
      </c>
      <c r="I2" s="13"/>
      <c r="J2" s="14">
        <f>SUM(G2:I2)</f>
        <v>29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/>
      <c r="D3" s="9"/>
      <c r="E3" s="11" t="b">
        <v>0</v>
      </c>
      <c r="F3" s="9"/>
      <c r="G3" s="13">
        <f>IF(C3&lt;&gt;"", M8, 0)</f>
        <v>0</v>
      </c>
      <c r="H3" s="13">
        <f>IF(D3&lt;&gt;"", M14, 0)</f>
        <v>0</v>
      </c>
      <c r="I3" s="13"/>
      <c r="J3" s="14">
        <f>SUM(G3:I3)</f>
        <v>0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9"/>
      <c r="G4" s="13">
        <f>IF(C4&lt;&gt;"", M8, 0)</f>
        <v>0</v>
      </c>
      <c r="H4" s="13">
        <f>IF(D4&lt;&gt;"", M14, 0)</f>
        <v>0</v>
      </c>
      <c r="I4" s="13"/>
      <c r="J4" s="14">
        <f>SUM(G4:I4)</f>
        <v>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57</v>
      </c>
      <c r="D5" s="9"/>
      <c r="E5" s="11" t="b">
        <v>1</v>
      </c>
      <c r="F5" s="9"/>
      <c r="G5" s="13">
        <f>IF(C5&lt;&gt;"", M8, 0)</f>
        <v>29</v>
      </c>
      <c r="H5" s="13">
        <f>IF(D5&lt;&gt;"", M14, 0)</f>
        <v>0</v>
      </c>
      <c r="I5" s="13"/>
      <c r="J5" s="14">
        <f>SUM(G5:I5)</f>
        <v>29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>
        <f>IF(D6&lt;&gt;"", M14, 0)</f>
        <v>0</v>
      </c>
      <c r="I6" s="13"/>
      <c r="J6" s="14">
        <f>SUM(G6:I6)</f>
        <v>0</v>
      </c>
      <c r="K6" s="20"/>
      <c r="L6" s="24" t="s">
        <v>37</v>
      </c>
      <c r="M6" s="71">
        <f>COUNTA(C2:C16)</f>
        <v>5</v>
      </c>
      <c r="N6" s="71"/>
      <c r="O6" s="25"/>
    </row>
    <row r="7" spans="1:17" ht="15">
      <c r="A7" s="7">
        <v>6</v>
      </c>
      <c r="B7" s="8" t="s">
        <v>21</v>
      </c>
      <c r="C7" s="9" t="s">
        <v>155</v>
      </c>
      <c r="D7" s="9"/>
      <c r="E7" s="11" t="b">
        <v>1</v>
      </c>
      <c r="F7" s="40"/>
      <c r="G7" s="13">
        <f>IF(C7&lt;&gt;"", M8, 0)</f>
        <v>29</v>
      </c>
      <c r="H7" s="13">
        <f>IF(D7&lt;&gt;"", M14, 0)</f>
        <v>0</v>
      </c>
      <c r="I7" s="13"/>
      <c r="J7" s="14">
        <f>SUM(G7:I7)</f>
        <v>29</v>
      </c>
      <c r="K7" s="20"/>
      <c r="L7" s="26" t="s">
        <v>38</v>
      </c>
      <c r="M7" s="67">
        <f>M19</f>
        <v>145</v>
      </c>
      <c r="N7" s="67"/>
      <c r="O7" s="27"/>
    </row>
    <row r="8" spans="1:17" ht="15">
      <c r="A8" s="7">
        <v>7</v>
      </c>
      <c r="B8" s="8" t="s">
        <v>22</v>
      </c>
      <c r="C8" s="9" t="s">
        <v>156</v>
      </c>
      <c r="D8" s="9"/>
      <c r="E8" s="11" t="b">
        <v>1</v>
      </c>
      <c r="F8" s="9"/>
      <c r="G8" s="13">
        <f>IF(C8&lt;&gt;"", M8, 0)</f>
        <v>29</v>
      </c>
      <c r="H8" s="13">
        <f>IF(D8&lt;&gt;"", M14, 0)</f>
        <v>0</v>
      </c>
      <c r="I8" s="13"/>
      <c r="J8" s="14">
        <f>SUM(G8:I8)</f>
        <v>29</v>
      </c>
      <c r="K8" s="20"/>
      <c r="L8" s="26" t="s">
        <v>39</v>
      </c>
      <c r="M8" s="67">
        <f>ROUND(M7/M6,0)</f>
        <v>29</v>
      </c>
      <c r="N8" s="67"/>
      <c r="O8" s="21"/>
    </row>
    <row r="9" spans="1:17" ht="15">
      <c r="A9" s="7">
        <v>8</v>
      </c>
      <c r="B9" s="8" t="s">
        <v>23</v>
      </c>
      <c r="C9" s="9" t="s">
        <v>157</v>
      </c>
      <c r="D9" s="9"/>
      <c r="E9" s="11" t="b">
        <v>1</v>
      </c>
      <c r="F9" s="9"/>
      <c r="G9" s="13">
        <f>IF(C9&lt;&gt;"", M8, 0)</f>
        <v>29</v>
      </c>
      <c r="H9" s="13">
        <f>IF(D9&lt;&gt;"", M14, 0)</f>
        <v>0</v>
      </c>
      <c r="J9" s="14">
        <f>SUM(G9:I9)</f>
        <v>29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/>
      <c r="G10" s="13">
        <f>IF(C10&lt;&gt;"", M8, 0)</f>
        <v>0</v>
      </c>
      <c r="H10" s="13">
        <f>IF(D10&lt;&gt;"", M14, 0)</f>
        <v>0</v>
      </c>
      <c r="I10" s="13"/>
      <c r="J10" s="14">
        <f>SUM(G10:I10)</f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>
        <f>IF(D11&lt;&gt;"", M14, 0)</f>
        <v>0</v>
      </c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M11, 0)</f>
        <v>0</v>
      </c>
      <c r="H12" s="13">
        <f>IF(D12&lt;&gt;"", M14, 0)</f>
        <v>0</v>
      </c>
      <c r="I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>SUM(G13:I13)</f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>SUM(G14:I14)</f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>SUM(G15:I15)</f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>SUM(G16:I16)</f>
        <v>0</v>
      </c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145</v>
      </c>
      <c r="H18" s="20"/>
      <c r="I18" s="20"/>
      <c r="J18" s="35">
        <f>SUM(J2:J16)</f>
        <v>145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5</v>
      </c>
      <c r="F19" s="20"/>
      <c r="G19" s="37"/>
      <c r="H19" s="20"/>
      <c r="I19" s="20"/>
      <c r="J19" s="35"/>
      <c r="K19" s="35"/>
      <c r="L19" s="35" t="s">
        <v>17</v>
      </c>
      <c r="M19">
        <v>145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31" priority="1">
      <formula>LEN(TRIM(C2))&gt;0</formula>
    </cfRule>
    <cfRule type="containsBlanks" dxfId="30" priority="2">
      <formula>LEN(TRIM(C2))=0</formula>
    </cfRule>
  </conditionalFormatting>
  <hyperlinks>
    <hyperlink ref="G1" r:id="rId1" xr:uid="{AF4F82A3-A319-4FCD-B4F3-9E3B245BDAC5}"/>
    <hyperlink ref="H1" r:id="rId2" xr:uid="{191F6947-0FAC-49F0-98E9-10A6BCED910F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F1213-8EDC-437D-94EF-D8D5DA1A8261}">
  <dimension ref="A1:Q24"/>
  <sheetViews>
    <sheetView workbookViewId="0">
      <selection activeCell="I4" sqref="I4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158</v>
      </c>
      <c r="D2" s="10"/>
      <c r="E2" s="11" t="b">
        <v>1</v>
      </c>
      <c r="F2" s="12"/>
      <c r="G2" s="13">
        <f>IF(C2&lt;&gt;"", M8, 0)</f>
        <v>27</v>
      </c>
      <c r="H2" s="13">
        <f>IF(D2&lt;&gt;"", M14, 0)</f>
        <v>0</v>
      </c>
      <c r="I2" s="13"/>
      <c r="J2" s="14">
        <f>SUM(G2:I2)</f>
        <v>27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159</v>
      </c>
      <c r="D3" s="9"/>
      <c r="E3" s="11" t="b">
        <v>1</v>
      </c>
      <c r="F3" s="9"/>
      <c r="G3" s="13">
        <f>IF(C3&lt;&gt;"", M8, 0)</f>
        <v>27</v>
      </c>
      <c r="H3" s="13">
        <f>IF(D3&lt;&gt;"", M14, 0)</f>
        <v>0</v>
      </c>
      <c r="I3" s="13"/>
      <c r="J3" s="14">
        <f>SUM(G3:I3)</f>
        <v>27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160</v>
      </c>
      <c r="D4" s="9"/>
      <c r="E4" s="11" t="b">
        <v>1</v>
      </c>
      <c r="F4" s="9" t="s">
        <v>124</v>
      </c>
      <c r="G4" s="13">
        <f>IF(C4&lt;&gt;"", M8, 0)</f>
        <v>27</v>
      </c>
      <c r="H4" s="13">
        <f>IF(D4&lt;&gt;"", M14, 0)</f>
        <v>0</v>
      </c>
      <c r="I4" s="13">
        <v>10</v>
      </c>
      <c r="J4" s="14">
        <f>SUM(G4:I4)</f>
        <v>37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71</v>
      </c>
      <c r="D5" s="9"/>
      <c r="E5" s="11" t="b">
        <v>1</v>
      </c>
      <c r="F5" s="9"/>
      <c r="G5" s="13">
        <f>IF(C5&lt;&gt;"", M8, 0)</f>
        <v>27</v>
      </c>
      <c r="H5" s="13">
        <f>IF(D5&lt;&gt;"", M14, 0)</f>
        <v>0</v>
      </c>
      <c r="I5" s="13"/>
      <c r="J5" s="14">
        <f>SUM(G5:I5)</f>
        <v>27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>
        <f>IF(D6&lt;&gt;"", M14, 0)</f>
        <v>0</v>
      </c>
      <c r="I6" s="13"/>
      <c r="J6" s="14">
        <f>SUM(G6:I6)</f>
        <v>0</v>
      </c>
      <c r="K6" s="20"/>
      <c r="L6" s="24" t="s">
        <v>37</v>
      </c>
      <c r="M6" s="71">
        <f>COUNTA(C2:C16)</f>
        <v>9</v>
      </c>
      <c r="N6" s="71"/>
      <c r="O6" s="25"/>
    </row>
    <row r="7" spans="1:17" ht="15">
      <c r="A7" s="7">
        <v>6</v>
      </c>
      <c r="B7" s="8" t="s">
        <v>21</v>
      </c>
      <c r="C7" s="9" t="s">
        <v>161</v>
      </c>
      <c r="D7" s="9"/>
      <c r="E7" s="11" t="b">
        <v>1</v>
      </c>
      <c r="F7" s="40"/>
      <c r="G7" s="13">
        <f>IF(C7&lt;&gt;"", M8, 0)</f>
        <v>27</v>
      </c>
      <c r="H7" s="13">
        <f>IF(D7&lt;&gt;"", M14, 0)</f>
        <v>0</v>
      </c>
      <c r="I7" s="13"/>
      <c r="J7" s="14">
        <f>SUM(G7:I7)</f>
        <v>27</v>
      </c>
      <c r="K7" s="20"/>
      <c r="L7" s="26" t="s">
        <v>38</v>
      </c>
      <c r="M7" s="67">
        <f>M19-10</f>
        <v>242</v>
      </c>
      <c r="N7" s="67"/>
      <c r="O7" s="27"/>
    </row>
    <row r="8" spans="1:17" ht="15">
      <c r="A8" s="7">
        <v>7</v>
      </c>
      <c r="B8" s="8" t="s">
        <v>22</v>
      </c>
      <c r="C8" s="9" t="s">
        <v>162</v>
      </c>
      <c r="D8" s="9"/>
      <c r="E8" s="11" t="b">
        <v>1</v>
      </c>
      <c r="F8" s="9"/>
      <c r="G8" s="13">
        <f>IF(C8&lt;&gt;"", M8, 0)</f>
        <v>27</v>
      </c>
      <c r="H8" s="13">
        <f>IF(D8&lt;&gt;"", M14, 0)</f>
        <v>0</v>
      </c>
      <c r="I8" s="13"/>
      <c r="J8" s="14">
        <f>SUM(G8:I8)</f>
        <v>27</v>
      </c>
      <c r="K8" s="20"/>
      <c r="L8" s="26" t="s">
        <v>39</v>
      </c>
      <c r="M8" s="67">
        <f>ROUND(M7/M6,0)</f>
        <v>27</v>
      </c>
      <c r="N8" s="67"/>
      <c r="O8" s="21"/>
    </row>
    <row r="9" spans="1:17" ht="15">
      <c r="A9" s="7">
        <v>8</v>
      </c>
      <c r="B9" s="8" t="s">
        <v>23</v>
      </c>
      <c r="C9" s="9" t="s">
        <v>161</v>
      </c>
      <c r="D9" s="9"/>
      <c r="E9" s="11" t="b">
        <v>1</v>
      </c>
      <c r="F9" s="9"/>
      <c r="G9" s="13">
        <f>IF(C9&lt;&gt;"", M8, 0)</f>
        <v>27</v>
      </c>
      <c r="H9" s="13">
        <f>IF(D9&lt;&gt;"", M14, 0)</f>
        <v>0</v>
      </c>
      <c r="J9" s="14">
        <f>SUM(G9:I9)</f>
        <v>27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143</v>
      </c>
      <c r="D10" s="9"/>
      <c r="E10" s="11" t="b">
        <v>1</v>
      </c>
      <c r="F10" s="32"/>
      <c r="G10" s="13">
        <f>IF(C10&lt;&gt;"", M8, 0)</f>
        <v>27</v>
      </c>
      <c r="H10" s="13">
        <f>IF(D10&lt;&gt;"", M14, 0)</f>
        <v>0</v>
      </c>
      <c r="I10" s="13"/>
      <c r="J10" s="14">
        <f>SUM(G10:I10)</f>
        <v>27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 t="s">
        <v>163</v>
      </c>
      <c r="D11" s="9"/>
      <c r="E11" s="11" t="b">
        <v>1</v>
      </c>
      <c r="F11" s="9"/>
      <c r="G11" s="13">
        <f>IF(C11&lt;&gt;"", M8, 0)</f>
        <v>27</v>
      </c>
      <c r="H11" s="13">
        <f>IF(D11&lt;&gt;"", M14, 0)</f>
        <v>0</v>
      </c>
      <c r="I11" s="13"/>
      <c r="J11" s="14">
        <f>SUM(G11:I11)</f>
        <v>27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M11, 0)</f>
        <v>0</v>
      </c>
      <c r="H12" s="13">
        <f>IF(D12&lt;&gt;"", M14, 0)</f>
        <v>0</v>
      </c>
      <c r="I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>SUM(G13:I13)</f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>SUM(G14:I14)</f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>SUM(G15:I15)</f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>SUM(G16:I16)</f>
        <v>0</v>
      </c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243</v>
      </c>
      <c r="H18" s="20"/>
      <c r="I18" s="20"/>
      <c r="J18" s="35">
        <f>SUM(J2:J16)</f>
        <v>253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9</v>
      </c>
      <c r="F19" s="20"/>
      <c r="G19" s="37"/>
      <c r="H19" s="20"/>
      <c r="I19" s="20"/>
      <c r="J19" s="35"/>
      <c r="K19" s="35"/>
      <c r="L19" s="35" t="s">
        <v>17</v>
      </c>
      <c r="M19">
        <v>252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29" priority="1">
      <formula>LEN(TRIM(C2))&gt;0</formula>
    </cfRule>
    <cfRule type="containsBlanks" dxfId="28" priority="2">
      <formula>LEN(TRIM(C2))=0</formula>
    </cfRule>
  </conditionalFormatting>
  <hyperlinks>
    <hyperlink ref="G1" r:id="rId1" xr:uid="{A4CB358F-8510-4641-BE6B-374DCE0B3D44}"/>
    <hyperlink ref="H1" r:id="rId2" xr:uid="{2A9F1673-D88C-4357-A906-AF1EB8E93FC2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5297-0682-48F0-9FDA-0A2681B8090E}">
  <dimension ref="A1:Q24"/>
  <sheetViews>
    <sheetView workbookViewId="0">
      <selection activeCell="F21" sqref="F21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164</v>
      </c>
      <c r="D2" s="10"/>
      <c r="E2" s="11" t="b">
        <v>1</v>
      </c>
      <c r="F2" s="12"/>
      <c r="G2" s="13">
        <f>IF(C2&lt;&gt;"", M8, 0)</f>
        <v>29</v>
      </c>
      <c r="H2" s="13">
        <f>IF(D2&lt;&gt;"", M14, 0)</f>
        <v>0</v>
      </c>
      <c r="I2" s="13"/>
      <c r="J2" s="14">
        <f>SUM(G2:I2)</f>
        <v>29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165</v>
      </c>
      <c r="D3" s="9"/>
      <c r="E3" s="11" t="b">
        <v>1</v>
      </c>
      <c r="F3" s="9"/>
      <c r="G3" s="13">
        <f>IF(C3&lt;&gt;"", M8, 0)</f>
        <v>29</v>
      </c>
      <c r="H3" s="13">
        <f>IF(D3&lt;&gt;"", M14, 0)</f>
        <v>0</v>
      </c>
      <c r="I3" s="13"/>
      <c r="J3" s="14">
        <f>SUM(G3:I3)</f>
        <v>29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166</v>
      </c>
      <c r="D4" s="9"/>
      <c r="E4" s="11" t="b">
        <v>1</v>
      </c>
      <c r="F4" s="9" t="s">
        <v>124</v>
      </c>
      <c r="G4" s="13">
        <f>IF(C4&lt;&gt;"", M8, 0)</f>
        <v>29</v>
      </c>
      <c r="H4" s="13">
        <f>IF(D4&lt;&gt;"", M14, 0)</f>
        <v>0</v>
      </c>
      <c r="I4" s="13">
        <v>10</v>
      </c>
      <c r="J4" s="14">
        <f>SUM(G4:I4)</f>
        <v>39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71</v>
      </c>
      <c r="D5" s="9"/>
      <c r="E5" s="11" t="b">
        <v>1</v>
      </c>
      <c r="F5" s="9"/>
      <c r="G5" s="13">
        <f>IF(C5&lt;&gt;"", M8, 0)</f>
        <v>29</v>
      </c>
      <c r="H5" s="13">
        <f>IF(D5&lt;&gt;"", M14, 0)</f>
        <v>0</v>
      </c>
      <c r="I5" s="13"/>
      <c r="J5" s="14">
        <f>SUM(G5:I5)</f>
        <v>29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>
        <f>IF(D6&lt;&gt;"", M14, 0)</f>
        <v>0</v>
      </c>
      <c r="I6" s="13"/>
      <c r="J6" s="14">
        <f>SUM(G6:I6)</f>
        <v>0</v>
      </c>
      <c r="K6" s="20"/>
      <c r="L6" s="24" t="s">
        <v>37</v>
      </c>
      <c r="M6" s="71">
        <f>COUNTA(C2:C16)</f>
        <v>7</v>
      </c>
      <c r="N6" s="71"/>
      <c r="O6" s="25"/>
    </row>
    <row r="7" spans="1:17" ht="15">
      <c r="A7" s="7">
        <v>6</v>
      </c>
      <c r="B7" s="8" t="s">
        <v>21</v>
      </c>
      <c r="C7" s="9" t="s">
        <v>167</v>
      </c>
      <c r="D7" s="9"/>
      <c r="E7" s="11" t="b">
        <v>1</v>
      </c>
      <c r="F7" s="40" t="s">
        <v>168</v>
      </c>
      <c r="G7" s="13">
        <f>IF(C7&lt;&gt;"", M8, 0)</f>
        <v>29</v>
      </c>
      <c r="H7" s="13">
        <f>IF(D7&lt;&gt;"", M14, 0)</f>
        <v>0</v>
      </c>
      <c r="I7" s="13">
        <v>10</v>
      </c>
      <c r="J7" s="14">
        <f>SUM(G7:I7)</f>
        <v>39</v>
      </c>
      <c r="K7" s="20"/>
      <c r="L7" s="26" t="s">
        <v>38</v>
      </c>
      <c r="M7" s="67">
        <f>M19-20</f>
        <v>203</v>
      </c>
      <c r="N7" s="67"/>
      <c r="O7" s="27"/>
    </row>
    <row r="8" spans="1:17" ht="15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IF(C8&lt;&gt;"", M8, 0)</f>
        <v>0</v>
      </c>
      <c r="H8" s="13">
        <f>IF(D8&lt;&gt;"", M14, 0)</f>
        <v>0</v>
      </c>
      <c r="I8" s="13"/>
      <c r="J8" s="14">
        <f>SUM(G8:I8)</f>
        <v>0</v>
      </c>
      <c r="K8" s="20"/>
      <c r="L8" s="26" t="s">
        <v>39</v>
      </c>
      <c r="M8" s="67">
        <f>ROUND(M7/M6,0)</f>
        <v>29</v>
      </c>
      <c r="N8" s="67"/>
      <c r="O8" s="21"/>
    </row>
    <row r="9" spans="1:17" ht="15">
      <c r="A9" s="7">
        <v>8</v>
      </c>
      <c r="B9" s="8" t="s">
        <v>23</v>
      </c>
      <c r="C9" s="9" t="s">
        <v>169</v>
      </c>
      <c r="D9" s="9"/>
      <c r="E9" s="11" t="b">
        <v>1</v>
      </c>
      <c r="F9" s="9"/>
      <c r="G9" s="13">
        <f>IF(C9&lt;&gt;"", M8, 0)</f>
        <v>29</v>
      </c>
      <c r="H9" s="13">
        <f>IF(D9&lt;&gt;"", M14, 0)</f>
        <v>0</v>
      </c>
      <c r="J9" s="14">
        <f>SUM(G9:I9)</f>
        <v>29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/>
      <c r="G10" s="13">
        <f>IF(C10&lt;&gt;"", M8, 0)</f>
        <v>0</v>
      </c>
      <c r="H10" s="13">
        <f>IF(D10&lt;&gt;"", M14, 0)</f>
        <v>0</v>
      </c>
      <c r="I10" s="13"/>
      <c r="J10" s="14">
        <f>SUM(G10:I10)</f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 t="s">
        <v>144</v>
      </c>
      <c r="D11" s="9"/>
      <c r="E11" s="11" t="b">
        <v>1</v>
      </c>
      <c r="F11" s="9"/>
      <c r="G11" s="13">
        <f>IF(C11&lt;&gt;"", M8, 0)</f>
        <v>29</v>
      </c>
      <c r="H11" s="13">
        <f>IF(D11&lt;&gt;"", M14, 0)</f>
        <v>0</v>
      </c>
      <c r="I11" s="13"/>
      <c r="J11" s="14">
        <f>SUM(G11:I11)</f>
        <v>29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M11, 0)</f>
        <v>0</v>
      </c>
      <c r="H12" s="13">
        <f>IF(D12&lt;&gt;"", M14, 0)</f>
        <v>0</v>
      </c>
      <c r="I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>SUM(G13:I13)</f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>SUM(G14:I14)</f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>SUM(G15:I15)</f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>SUM(G16:I16)</f>
        <v>0</v>
      </c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203</v>
      </c>
      <c r="H18" s="20"/>
      <c r="I18" s="20"/>
      <c r="J18" s="35">
        <f>SUM(J2:J16)</f>
        <v>223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7</v>
      </c>
      <c r="F19" s="20"/>
      <c r="G19" s="37"/>
      <c r="H19" s="20"/>
      <c r="I19" s="20"/>
      <c r="J19" s="35"/>
      <c r="K19" s="35"/>
      <c r="L19" s="35" t="s">
        <v>17</v>
      </c>
      <c r="M19">
        <v>223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27" priority="1">
      <formula>LEN(TRIM(C2))&gt;0</formula>
    </cfRule>
    <cfRule type="containsBlanks" dxfId="26" priority="2">
      <formula>LEN(TRIM(C2))=0</formula>
    </cfRule>
  </conditionalFormatting>
  <hyperlinks>
    <hyperlink ref="G1" r:id="rId1" xr:uid="{BA6880A8-ADA1-4546-9E1B-C96A778C7250}"/>
    <hyperlink ref="H1" r:id="rId2" xr:uid="{C4734B2C-4B88-4A89-8D6C-BB68C635EFBE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D773-13B5-4503-92BA-FD3D0C117672}">
  <dimension ref="A1:Q24"/>
  <sheetViews>
    <sheetView workbookViewId="0">
      <selection activeCell="C2" sqref="C2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170</v>
      </c>
      <c r="D2" s="10"/>
      <c r="E2" s="11" t="b">
        <v>1</v>
      </c>
      <c r="F2" s="12"/>
      <c r="G2" s="13">
        <f>IF(C2&lt;&gt;"", M8, 0)</f>
        <v>28</v>
      </c>
      <c r="H2" s="13">
        <f>IF(D2&lt;&gt;"", M14, 0)</f>
        <v>0</v>
      </c>
      <c r="I2" s="13"/>
      <c r="J2" s="14">
        <f>SUM(G2:I2)</f>
        <v>28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/>
      <c r="D3" s="9"/>
      <c r="E3" s="11" t="b">
        <v>0</v>
      </c>
      <c r="F3" s="9"/>
      <c r="G3" s="13">
        <f>IF(C3&lt;&gt;"", M8, 0)</f>
        <v>0</v>
      </c>
      <c r="H3" s="13">
        <f>IF(D3&lt;&gt;"", M14, 0)</f>
        <v>0</v>
      </c>
      <c r="I3" s="13"/>
      <c r="J3" s="14">
        <f>SUM(G3:I3)</f>
        <v>0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170</v>
      </c>
      <c r="D4" s="9"/>
      <c r="E4" s="11" t="b">
        <v>1</v>
      </c>
      <c r="F4" s="9" t="s">
        <v>124</v>
      </c>
      <c r="G4" s="13">
        <f>IF(C4&lt;&gt;"", M8, 0)</f>
        <v>28</v>
      </c>
      <c r="H4" s="13">
        <f>IF(D4&lt;&gt;"", M14, 0)</f>
        <v>0</v>
      </c>
      <c r="I4" s="13">
        <v>10</v>
      </c>
      <c r="J4" s="14">
        <f>SUM(G4:I4)</f>
        <v>38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71</v>
      </c>
      <c r="D5" s="9"/>
      <c r="E5" s="11" t="b">
        <v>1</v>
      </c>
      <c r="F5" s="9"/>
      <c r="G5" s="13">
        <f>IF(C5&lt;&gt;"", M8, 0)</f>
        <v>28</v>
      </c>
      <c r="H5" s="13">
        <f>IF(D5&lt;&gt;"", M14, 0)</f>
        <v>0</v>
      </c>
      <c r="I5" s="13"/>
      <c r="J5" s="14">
        <f>SUM(G5:I5)</f>
        <v>28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 t="s">
        <v>67</v>
      </c>
      <c r="D6" s="9"/>
      <c r="E6" s="11" t="b">
        <v>1</v>
      </c>
      <c r="F6" s="23"/>
      <c r="G6" s="13">
        <f>IF(C6&lt;&gt;"", M8, 0)</f>
        <v>28</v>
      </c>
      <c r="H6" s="13">
        <f>IF(D6&lt;&gt;"", M14, 0)</f>
        <v>0</v>
      </c>
      <c r="I6" s="13"/>
      <c r="J6" s="14">
        <f>SUM(G6:I6)</f>
        <v>28</v>
      </c>
      <c r="K6" s="20"/>
      <c r="L6" s="24" t="s">
        <v>37</v>
      </c>
      <c r="M6" s="71">
        <f>COUNTA(C2:C16)</f>
        <v>7</v>
      </c>
      <c r="N6" s="71"/>
      <c r="O6" s="25"/>
    </row>
    <row r="7" spans="1:17" ht="15">
      <c r="A7" s="7">
        <v>6</v>
      </c>
      <c r="B7" s="8" t="s">
        <v>21</v>
      </c>
      <c r="C7" s="9" t="s">
        <v>170</v>
      </c>
      <c r="D7" s="9"/>
      <c r="E7" s="11" t="b">
        <v>1</v>
      </c>
      <c r="F7" s="40"/>
      <c r="G7" s="13">
        <f>IF(C7&lt;&gt;"", M8, 0)</f>
        <v>28</v>
      </c>
      <c r="H7" s="13">
        <f>IF(D7&lt;&gt;"", M14, 0)</f>
        <v>0</v>
      </c>
      <c r="I7" s="13"/>
      <c r="J7" s="14">
        <f>SUM(G7:I7)</f>
        <v>28</v>
      </c>
      <c r="K7" s="20"/>
      <c r="L7" s="26" t="s">
        <v>38</v>
      </c>
      <c r="M7" s="67">
        <f>M19-10</f>
        <v>193</v>
      </c>
      <c r="N7" s="67"/>
      <c r="O7" s="27"/>
    </row>
    <row r="8" spans="1:17" ht="15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IF(C8&lt;&gt;"", M8, 0)</f>
        <v>0</v>
      </c>
      <c r="H8" s="13">
        <f>IF(D8&lt;&gt;"", M14, 0)</f>
        <v>0</v>
      </c>
      <c r="I8" s="13"/>
      <c r="J8" s="14">
        <f>SUM(G8:I8)</f>
        <v>0</v>
      </c>
      <c r="K8" s="20"/>
      <c r="L8" s="26" t="s">
        <v>39</v>
      </c>
      <c r="M8" s="67">
        <f>ROUND(M7/M6,0)</f>
        <v>28</v>
      </c>
      <c r="N8" s="67"/>
      <c r="O8" s="21"/>
    </row>
    <row r="9" spans="1:17" ht="15">
      <c r="A9" s="7">
        <v>8</v>
      </c>
      <c r="B9" s="8" t="s">
        <v>23</v>
      </c>
      <c r="C9" s="9" t="s">
        <v>171</v>
      </c>
      <c r="D9" s="9"/>
      <c r="E9" s="11" t="b">
        <v>1</v>
      </c>
      <c r="F9" s="9"/>
      <c r="G9" s="13">
        <f>IF(C9&lt;&gt;"", M8, 0)</f>
        <v>28</v>
      </c>
      <c r="H9" s="13">
        <f>IF(D9&lt;&gt;"", M14, 0)</f>
        <v>0</v>
      </c>
      <c r="J9" s="14">
        <f>SUM(G9:I9)</f>
        <v>28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143</v>
      </c>
      <c r="D10" s="9"/>
      <c r="E10" s="11" t="b">
        <v>1</v>
      </c>
      <c r="F10" s="32"/>
      <c r="G10" s="13">
        <f>IF(C10&lt;&gt;"", M8, 0)</f>
        <v>28</v>
      </c>
      <c r="H10" s="13">
        <f>IF(D10&lt;&gt;"", M14, 0)</f>
        <v>0</v>
      </c>
      <c r="I10" s="13"/>
      <c r="J10" s="14">
        <f>SUM(G10:I10)</f>
        <v>28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>
        <f>IF(D11&lt;&gt;"", M14, 0)</f>
        <v>0</v>
      </c>
      <c r="I11" s="13"/>
      <c r="J11" s="14">
        <f>SUM(G11:I11)</f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M11, 0)</f>
        <v>0</v>
      </c>
      <c r="H12" s="13">
        <f>IF(D12&lt;&gt;"", M14, 0)</f>
        <v>0</v>
      </c>
      <c r="I12" s="13"/>
      <c r="J12" s="14">
        <f>SUM(G12:I12)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>SUM(G13:I13)</f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>SUM(G14:I14)</f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>SUM(G15:I15)</f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>SUM(G16:I16)</f>
        <v>0</v>
      </c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196</v>
      </c>
      <c r="H18" s="20"/>
      <c r="I18" s="20"/>
      <c r="J18" s="35">
        <f>SUM(J2:J16)</f>
        <v>206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7</v>
      </c>
      <c r="F19" s="20"/>
      <c r="G19" s="37"/>
      <c r="H19" s="20"/>
      <c r="I19" s="20"/>
      <c r="J19" s="35"/>
      <c r="K19" s="35"/>
      <c r="L19" s="35" t="s">
        <v>17</v>
      </c>
      <c r="M19">
        <v>203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25" priority="1">
      <formula>LEN(TRIM(C2))&gt;0</formula>
    </cfRule>
    <cfRule type="containsBlanks" dxfId="24" priority="2">
      <formula>LEN(TRIM(C2))=0</formula>
    </cfRule>
  </conditionalFormatting>
  <hyperlinks>
    <hyperlink ref="G1" r:id="rId1" xr:uid="{8BD99F7D-A60C-4A14-B301-E572F7AC8530}"/>
    <hyperlink ref="H1" r:id="rId2" xr:uid="{F3D98054-3B0B-4635-B1EB-064B4283F679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EA8B-B131-40D9-83B6-C653FBD97AB8}">
  <dimension ref="A1:Q24"/>
  <sheetViews>
    <sheetView workbookViewId="0">
      <selection activeCell="F4" sqref="F4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51</v>
      </c>
      <c r="D2" s="10"/>
      <c r="E2" s="11" t="b">
        <v>1</v>
      </c>
      <c r="F2" s="12"/>
      <c r="G2" s="13">
        <f>IF(C2&lt;&gt;"", M8, 0)</f>
        <v>26</v>
      </c>
      <c r="H2" s="13">
        <f>IF(D2&lt;&gt;"", M14, 0)</f>
        <v>0</v>
      </c>
      <c r="I2" s="13"/>
      <c r="J2" s="14">
        <f>SUM(G2:I2)</f>
        <v>26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/>
      <c r="D3" s="9"/>
      <c r="E3" s="11" t="b">
        <v>0</v>
      </c>
      <c r="F3" s="9"/>
      <c r="G3" s="13">
        <f>IF(C3&lt;&gt;"", M8, 0)</f>
        <v>0</v>
      </c>
      <c r="H3" s="13">
        <f>IF(D3&lt;&gt;"", M14, 0)</f>
        <v>0</v>
      </c>
      <c r="I3" s="13"/>
      <c r="J3" s="14">
        <f t="shared" ref="J3:J16" si="0">SUM(G3:I3)</f>
        <v>0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172</v>
      </c>
      <c r="D4" s="9"/>
      <c r="E4" s="11" t="b">
        <v>1</v>
      </c>
      <c r="F4" s="9" t="s">
        <v>124</v>
      </c>
      <c r="G4" s="13">
        <f>IF(C4&lt;&gt;"", M8, 0)</f>
        <v>26</v>
      </c>
      <c r="H4" s="13">
        <f>IF(D4&lt;&gt;"", M14, 0)</f>
        <v>0</v>
      </c>
      <c r="I4" s="13">
        <v>10</v>
      </c>
      <c r="J4" s="14">
        <f t="shared" si="0"/>
        <v>36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27</v>
      </c>
      <c r="D5" s="9"/>
      <c r="E5" s="11" t="b">
        <v>1</v>
      </c>
      <c r="F5" s="9"/>
      <c r="G5" s="13">
        <f>IF(C5&lt;&gt;"", M8, 0)</f>
        <v>26</v>
      </c>
      <c r="H5" s="13">
        <f>IF(D5&lt;&gt;"", M14, 0)</f>
        <v>0</v>
      </c>
      <c r="I5" s="13"/>
      <c r="J5" s="14">
        <f t="shared" si="0"/>
        <v>26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>
        <f>IF(D6&lt;&gt;"", M14, 0)</f>
        <v>0</v>
      </c>
      <c r="I6" s="13"/>
      <c r="J6" s="14">
        <f t="shared" si="0"/>
        <v>0</v>
      </c>
      <c r="K6" s="20"/>
      <c r="L6" s="24" t="s">
        <v>37</v>
      </c>
      <c r="M6" s="71">
        <f>COUNTA(C2:C16)</f>
        <v>6</v>
      </c>
      <c r="N6" s="71"/>
      <c r="O6" s="25"/>
    </row>
    <row r="7" spans="1:17" ht="15">
      <c r="A7" s="7">
        <v>6</v>
      </c>
      <c r="B7" s="8" t="s">
        <v>21</v>
      </c>
      <c r="C7" s="9" t="s">
        <v>173</v>
      </c>
      <c r="D7" s="9"/>
      <c r="E7" s="11" t="b">
        <v>1</v>
      </c>
      <c r="F7" s="40" t="s">
        <v>174</v>
      </c>
      <c r="G7" s="13">
        <f>IF(C7&lt;&gt;"", M8, 0)</f>
        <v>26</v>
      </c>
      <c r="H7" s="13">
        <f>IF(D7&lt;&gt;"", M14, 0)</f>
        <v>0</v>
      </c>
      <c r="I7" s="13">
        <v>10</v>
      </c>
      <c r="J7" s="14">
        <f t="shared" si="0"/>
        <v>36</v>
      </c>
      <c r="K7" s="20"/>
      <c r="L7" s="26" t="s">
        <v>38</v>
      </c>
      <c r="M7" s="67">
        <f>M19-30</f>
        <v>158</v>
      </c>
      <c r="N7" s="67"/>
      <c r="O7" s="27"/>
    </row>
    <row r="8" spans="1:17" ht="15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IF(C8&lt;&gt;"", M8, 0)</f>
        <v>0</v>
      </c>
      <c r="H8" s="13">
        <f>IF(D8&lt;&gt;"", M14, 0)</f>
        <v>0</v>
      </c>
      <c r="I8" s="13"/>
      <c r="J8" s="14">
        <f t="shared" si="0"/>
        <v>0</v>
      </c>
      <c r="K8" s="20"/>
      <c r="L8" s="26" t="s">
        <v>39</v>
      </c>
      <c r="M8" s="67">
        <f>ROUND(M7/M6,0)</f>
        <v>26</v>
      </c>
      <c r="N8" s="67"/>
      <c r="O8" s="21"/>
    </row>
    <row r="9" spans="1:17" ht="15">
      <c r="A9" s="7">
        <v>8</v>
      </c>
      <c r="B9" s="8" t="s">
        <v>23</v>
      </c>
      <c r="C9" s="9" t="s">
        <v>175</v>
      </c>
      <c r="D9" s="9"/>
      <c r="E9" s="11" t="b">
        <v>1</v>
      </c>
      <c r="F9" s="9"/>
      <c r="G9" s="13">
        <f>IF(C9&lt;&gt;"", M8, 0)</f>
        <v>26</v>
      </c>
      <c r="H9" s="13">
        <f>IF(D9&lt;&gt;"", M14, 0)</f>
        <v>0</v>
      </c>
      <c r="J9" s="14">
        <f t="shared" si="0"/>
        <v>26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/>
      <c r="G10" s="13">
        <f>IF(C10&lt;&gt;"", M8, 0)</f>
        <v>0</v>
      </c>
      <c r="H10" s="13">
        <f>IF(D10&lt;&gt;"", M14, 0)</f>
        <v>0</v>
      </c>
      <c r="I10" s="13"/>
      <c r="J10" s="14">
        <f t="shared" si="0"/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 t="s">
        <v>176</v>
      </c>
      <c r="D11" s="9"/>
      <c r="E11" s="11" t="b">
        <v>1</v>
      </c>
      <c r="F11" s="9" t="s">
        <v>177</v>
      </c>
      <c r="G11" s="13">
        <f>IF(C11&lt;&gt;"", M8, 0)</f>
        <v>26</v>
      </c>
      <c r="H11" s="13">
        <f>IF(D11&lt;&gt;"", M14, 0)</f>
        <v>0</v>
      </c>
      <c r="I11" s="13">
        <v>10</v>
      </c>
      <c r="J11" s="14">
        <f t="shared" si="0"/>
        <v>36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M11, 0)</f>
        <v>0</v>
      </c>
      <c r="H12" s="13">
        <f>IF(D12&lt;&gt;"", M14, 0)</f>
        <v>0</v>
      </c>
      <c r="I12" s="13"/>
      <c r="J12" s="14">
        <f t="shared" si="0"/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 t="shared" si="0"/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 t="shared" si="0"/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 t="shared" si="0"/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 t="shared" si="0"/>
        <v>0</v>
      </c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156</v>
      </c>
      <c r="H18" s="20"/>
      <c r="I18" s="20"/>
      <c r="J18" s="35">
        <f>SUM(J2:J16)</f>
        <v>186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6</v>
      </c>
      <c r="F19" s="20"/>
      <c r="G19" s="37"/>
      <c r="H19" s="20"/>
      <c r="I19" s="20"/>
      <c r="J19" s="35"/>
      <c r="K19" s="35"/>
      <c r="L19" s="35" t="s">
        <v>17</v>
      </c>
      <c r="M19">
        <v>188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23" priority="1">
      <formula>LEN(TRIM(C2))&gt;0</formula>
    </cfRule>
    <cfRule type="containsBlanks" dxfId="22" priority="2">
      <formula>LEN(TRIM(C2))=0</formula>
    </cfRule>
  </conditionalFormatting>
  <hyperlinks>
    <hyperlink ref="G1" r:id="rId1" xr:uid="{88FDE1C9-E000-4D08-B6F4-8DFCE6286936}"/>
    <hyperlink ref="H1" r:id="rId2" xr:uid="{2A92B878-D8B8-4CD6-AF88-55EFC5492CC4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BEA3-5267-43D7-A708-53B98991810F}">
  <dimension ref="A1:Q24"/>
  <sheetViews>
    <sheetView workbookViewId="0">
      <selection activeCell="C24" sqref="C24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178</v>
      </c>
      <c r="D2" s="10"/>
      <c r="E2" s="11" t="b">
        <v>1</v>
      </c>
      <c r="F2" s="12"/>
      <c r="G2" s="13">
        <f>IF(C2&lt;&gt;"", M8, 0)</f>
        <v>28</v>
      </c>
      <c r="H2" s="13">
        <f>IF(D2&lt;&gt;"", M14, 0)</f>
        <v>0</v>
      </c>
      <c r="I2" s="13"/>
      <c r="J2" s="14">
        <f>SUM(G2:I2)</f>
        <v>28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178</v>
      </c>
      <c r="D3" s="9"/>
      <c r="E3" s="11" t="b">
        <v>1</v>
      </c>
      <c r="F3" s="9"/>
      <c r="G3" s="13">
        <f>IF(C3&lt;&gt;"", M8, 0)</f>
        <v>28</v>
      </c>
      <c r="H3" s="13">
        <f>IF(D3&lt;&gt;"", M14, 0)</f>
        <v>0</v>
      </c>
      <c r="I3" s="13"/>
      <c r="J3" s="14">
        <f t="shared" ref="J3:J16" si="0">SUM(G3:I3)</f>
        <v>28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178</v>
      </c>
      <c r="D4" s="9"/>
      <c r="E4" s="11" t="b">
        <v>1</v>
      </c>
      <c r="F4" s="9" t="s">
        <v>66</v>
      </c>
      <c r="G4" s="13">
        <f>IF(C4&lt;&gt;"", M8, 0)</f>
        <v>28</v>
      </c>
      <c r="H4" s="13">
        <f>IF(D4&lt;&gt;"", M14, 0)</f>
        <v>0</v>
      </c>
      <c r="I4" s="13"/>
      <c r="J4" s="14">
        <f t="shared" si="0"/>
        <v>28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57</v>
      </c>
      <c r="D5" s="9"/>
      <c r="E5" s="11" t="b">
        <v>1</v>
      </c>
      <c r="F5" s="9"/>
      <c r="G5" s="13">
        <f>IF(C5&lt;&gt;"", M8, 0)</f>
        <v>28</v>
      </c>
      <c r="H5" s="13">
        <f>IF(D5&lt;&gt;"", M14, 0)</f>
        <v>0</v>
      </c>
      <c r="I5" s="13"/>
      <c r="J5" s="14">
        <f t="shared" si="0"/>
        <v>28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>
        <f>IF(D6&lt;&gt;"", M14, 0)</f>
        <v>0</v>
      </c>
      <c r="I6" s="13"/>
      <c r="J6" s="14">
        <f t="shared" si="0"/>
        <v>0</v>
      </c>
      <c r="K6" s="20"/>
      <c r="L6" s="24" t="s">
        <v>37</v>
      </c>
      <c r="M6" s="71">
        <f>COUNTA(C2:C16)</f>
        <v>9</v>
      </c>
      <c r="N6" s="71"/>
      <c r="O6" s="25"/>
    </row>
    <row r="7" spans="1:17" ht="15">
      <c r="A7" s="7">
        <v>6</v>
      </c>
      <c r="B7" s="8" t="s">
        <v>21</v>
      </c>
      <c r="C7" s="9" t="s">
        <v>179</v>
      </c>
      <c r="D7" s="9"/>
      <c r="E7" s="11" t="b">
        <v>1</v>
      </c>
      <c r="F7" s="40" t="s">
        <v>180</v>
      </c>
      <c r="G7" s="13">
        <f>IF(C7&lt;&gt;"", M8, 0)</f>
        <v>28</v>
      </c>
      <c r="H7" s="13">
        <f>IF(D7&lt;&gt;"", M14, 0)</f>
        <v>0</v>
      </c>
      <c r="I7" s="13"/>
      <c r="J7" s="14">
        <f t="shared" si="0"/>
        <v>28</v>
      </c>
      <c r="K7" s="20"/>
      <c r="L7" s="26" t="s">
        <v>38</v>
      </c>
      <c r="M7" s="67">
        <v>249</v>
      </c>
      <c r="N7" s="67"/>
      <c r="O7" s="27"/>
    </row>
    <row r="8" spans="1:17" ht="15">
      <c r="A8" s="7">
        <v>7</v>
      </c>
      <c r="B8" s="8" t="s">
        <v>22</v>
      </c>
      <c r="C8" s="9" t="s">
        <v>181</v>
      </c>
      <c r="D8" s="9"/>
      <c r="E8" s="11" t="b">
        <v>1</v>
      </c>
      <c r="F8" s="9"/>
      <c r="G8" s="13">
        <f>IF(C8&lt;&gt;"", M8, 0)</f>
        <v>28</v>
      </c>
      <c r="H8" s="13">
        <f>IF(D8&lt;&gt;"", M14, 0)</f>
        <v>0</v>
      </c>
      <c r="I8" s="13"/>
      <c r="J8" s="14">
        <f t="shared" si="0"/>
        <v>28</v>
      </c>
      <c r="K8" s="20"/>
      <c r="L8" s="26" t="s">
        <v>39</v>
      </c>
      <c r="M8" s="67">
        <f>ROUND(M7/M6,0)</f>
        <v>28</v>
      </c>
      <c r="N8" s="67"/>
      <c r="O8" s="21"/>
    </row>
    <row r="9" spans="1:17" ht="15">
      <c r="A9" s="7">
        <v>8</v>
      </c>
      <c r="B9" s="8" t="s">
        <v>23</v>
      </c>
      <c r="C9" s="9" t="s">
        <v>178</v>
      </c>
      <c r="D9" s="9"/>
      <c r="E9" s="11" t="b">
        <v>1</v>
      </c>
      <c r="F9" s="9" t="s">
        <v>182</v>
      </c>
      <c r="G9" s="13">
        <f>IF(C9&lt;&gt;"", M8, 0)</f>
        <v>28</v>
      </c>
      <c r="H9" s="13">
        <f>IF(D9&lt;&gt;"", M14, 0)</f>
        <v>0</v>
      </c>
      <c r="J9" s="14">
        <f t="shared" si="0"/>
        <v>28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183</v>
      </c>
      <c r="D10" s="9"/>
      <c r="E10" s="11" t="b">
        <v>1</v>
      </c>
      <c r="F10" s="32"/>
      <c r="G10" s="13">
        <f>IF(C10&lt;&gt;"", M8, 0)</f>
        <v>28</v>
      </c>
      <c r="H10" s="13">
        <f>IF(D10&lt;&gt;"", M14, 0)</f>
        <v>0</v>
      </c>
      <c r="I10" s="13"/>
      <c r="J10" s="14">
        <f t="shared" si="0"/>
        <v>28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 t="s">
        <v>184</v>
      </c>
      <c r="D11" s="9"/>
      <c r="E11" s="11" t="b">
        <v>1</v>
      </c>
      <c r="F11" s="9" t="s">
        <v>182</v>
      </c>
      <c r="G11" s="13">
        <f>IF(C11&lt;&gt;"", M8, 0)</f>
        <v>28</v>
      </c>
      <c r="H11" s="13">
        <f>IF(D11&lt;&gt;"", M14, 0)</f>
        <v>0</v>
      </c>
      <c r="I11" s="13"/>
      <c r="J11" s="14">
        <f t="shared" si="0"/>
        <v>28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M11, 0)</f>
        <v>0</v>
      </c>
      <c r="H12" s="13">
        <f>IF(D12&lt;&gt;"", M14, 0)</f>
        <v>0</v>
      </c>
      <c r="I12" s="13"/>
      <c r="J12" s="14">
        <f t="shared" si="0"/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 t="shared" si="0"/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 t="shared" si="0"/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 t="shared" si="0"/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 t="shared" si="0"/>
        <v>0</v>
      </c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252</v>
      </c>
      <c r="H18" s="20"/>
      <c r="I18" s="20"/>
      <c r="J18" s="35">
        <f>SUM(J2:J16)</f>
        <v>252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9</v>
      </c>
      <c r="F19" s="20"/>
      <c r="G19" s="37"/>
      <c r="H19" s="20"/>
      <c r="I19" s="20"/>
      <c r="J19" s="35"/>
      <c r="K19" s="35"/>
      <c r="L19" s="35" t="s">
        <v>17</v>
      </c>
      <c r="M19">
        <v>249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21" priority="1">
      <formula>LEN(TRIM(C2))&gt;0</formula>
    </cfRule>
    <cfRule type="containsBlanks" dxfId="20" priority="2">
      <formula>LEN(TRIM(C2))=0</formula>
    </cfRule>
  </conditionalFormatting>
  <hyperlinks>
    <hyperlink ref="G1" r:id="rId1" xr:uid="{461FB436-8F05-4CF0-A26C-8EA1BEBDBC66}"/>
    <hyperlink ref="H1" r:id="rId2" xr:uid="{70C7B831-9543-4D63-AB36-B37818827018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2D73-108E-41C9-A232-CA85D6CD5C08}">
  <dimension ref="A1:Q24"/>
  <sheetViews>
    <sheetView workbookViewId="0">
      <selection activeCell="C4" sqref="C4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185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98</v>
      </c>
      <c r="D2" s="10"/>
      <c r="E2" s="11" t="b">
        <v>1</v>
      </c>
      <c r="F2" s="12"/>
      <c r="G2" s="13">
        <f>IF(C2&lt;&gt;"", M8, 0)</f>
        <v>27</v>
      </c>
      <c r="H2" s="13">
        <f>IF(D2&lt;&gt;"", M14, 0)</f>
        <v>0</v>
      </c>
      <c r="I2" s="13"/>
      <c r="J2" s="14">
        <f>SUM(G2:I2)</f>
        <v>27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/>
      <c r="D3" s="9"/>
      <c r="E3" s="11" t="b">
        <v>0</v>
      </c>
      <c r="F3" s="9"/>
      <c r="G3" s="13">
        <f>IF(C3&lt;&gt;"", M8, 0)</f>
        <v>0</v>
      </c>
      <c r="H3" s="13">
        <f>IF(D3&lt;&gt;"", M14, 0)</f>
        <v>0</v>
      </c>
      <c r="I3" s="13"/>
      <c r="J3" s="14">
        <f t="shared" ref="J3:J16" si="0">SUM(G3:I3)</f>
        <v>0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186</v>
      </c>
      <c r="D4" s="9"/>
      <c r="E4" s="11" t="b">
        <v>1</v>
      </c>
      <c r="F4" s="9" t="s">
        <v>187</v>
      </c>
      <c r="G4" s="13">
        <f>IF(C4&lt;&gt;"", M8, 0)</f>
        <v>27</v>
      </c>
      <c r="H4" s="13">
        <f>IF(D4&lt;&gt;"", M14, 0)</f>
        <v>0</v>
      </c>
      <c r="I4" s="13">
        <v>10</v>
      </c>
      <c r="J4" s="14">
        <f t="shared" si="0"/>
        <v>37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188</v>
      </c>
      <c r="D5" s="9"/>
      <c r="E5" s="11" t="b">
        <v>1</v>
      </c>
      <c r="F5" s="9"/>
      <c r="G5" s="13">
        <f>IF(C5&lt;&gt;"", M8, 0)</f>
        <v>27</v>
      </c>
      <c r="H5" s="13">
        <f>IF(D5&lt;&gt;"", M14, 0)</f>
        <v>0</v>
      </c>
      <c r="I5" s="13"/>
      <c r="J5" s="14">
        <f t="shared" si="0"/>
        <v>27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 t="s">
        <v>186</v>
      </c>
      <c r="D6" s="9"/>
      <c r="E6" s="11" t="b">
        <v>1</v>
      </c>
      <c r="F6" s="23"/>
      <c r="G6" s="13">
        <f>IF(C6&lt;&gt;"", M8, 0)</f>
        <v>27</v>
      </c>
      <c r="H6" s="13">
        <f>IF(D6&lt;&gt;"", M14, 0)</f>
        <v>0</v>
      </c>
      <c r="I6" s="13"/>
      <c r="J6" s="14">
        <f t="shared" si="0"/>
        <v>27</v>
      </c>
      <c r="K6" s="20"/>
      <c r="L6" s="24" t="s">
        <v>37</v>
      </c>
      <c r="M6" s="71">
        <f>COUNTA(C2:C16)</f>
        <v>7</v>
      </c>
      <c r="N6" s="71"/>
      <c r="O6" s="25"/>
    </row>
    <row r="7" spans="1:17" ht="15">
      <c r="A7" s="7">
        <v>6</v>
      </c>
      <c r="B7" s="8" t="s">
        <v>21</v>
      </c>
      <c r="C7" s="9" t="s">
        <v>189</v>
      </c>
      <c r="D7" s="9"/>
      <c r="E7" s="11" t="b">
        <v>1</v>
      </c>
      <c r="F7" s="40" t="s">
        <v>190</v>
      </c>
      <c r="G7" s="13">
        <f>IF(C7&lt;&gt;"", M8, 0)</f>
        <v>27</v>
      </c>
      <c r="H7" s="13">
        <f>IF(D7&lt;&gt;"", M14, 0)</f>
        <v>0</v>
      </c>
      <c r="I7" s="13"/>
      <c r="J7" s="14">
        <f t="shared" si="0"/>
        <v>27</v>
      </c>
      <c r="K7" s="20"/>
      <c r="L7" s="26" t="s">
        <v>38</v>
      </c>
      <c r="M7" s="67">
        <f>M20-I4</f>
        <v>191</v>
      </c>
      <c r="N7" s="67"/>
      <c r="O7" s="27"/>
    </row>
    <row r="8" spans="1:17" ht="15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IF(C8&lt;&gt;"", M8, 0)</f>
        <v>0</v>
      </c>
      <c r="H8" s="13">
        <f>IF(D8&lt;&gt;"", M14, 0)</f>
        <v>0</v>
      </c>
      <c r="I8" s="13"/>
      <c r="J8" s="14">
        <f t="shared" si="0"/>
        <v>0</v>
      </c>
      <c r="K8" s="20"/>
      <c r="L8" s="26" t="s">
        <v>39</v>
      </c>
      <c r="M8" s="67">
        <f>ROUND(M7/M6,0)</f>
        <v>27</v>
      </c>
      <c r="N8" s="67"/>
      <c r="O8" s="21"/>
    </row>
    <row r="9" spans="1:17" ht="15">
      <c r="A9" s="7">
        <v>8</v>
      </c>
      <c r="B9" s="8" t="s">
        <v>23</v>
      </c>
      <c r="C9" s="9" t="s">
        <v>191</v>
      </c>
      <c r="D9" s="9"/>
      <c r="E9" s="11" t="b">
        <v>1</v>
      </c>
      <c r="F9" s="9"/>
      <c r="G9" s="13">
        <f>IF(C9&lt;&gt;"", M8, 0)</f>
        <v>27</v>
      </c>
      <c r="H9" s="13">
        <f>IF(D9&lt;&gt;"", M14, 0)</f>
        <v>0</v>
      </c>
      <c r="J9" s="14">
        <f t="shared" si="0"/>
        <v>27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/>
      <c r="G10" s="13">
        <f>IF(C10&lt;&gt;"", M8, 0)</f>
        <v>0</v>
      </c>
      <c r="H10" s="13">
        <f>IF(D10&lt;&gt;"", M14, 0)</f>
        <v>0</v>
      </c>
      <c r="I10" s="13"/>
      <c r="J10" s="14">
        <f t="shared" si="0"/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 t="s">
        <v>163</v>
      </c>
      <c r="D11" s="9"/>
      <c r="E11" s="11" t="b">
        <v>1</v>
      </c>
      <c r="F11" s="9"/>
      <c r="G11" s="13">
        <f>IF(C11&lt;&gt;"", M8, 0)</f>
        <v>27</v>
      </c>
      <c r="H11" s="13">
        <f>IF(D11&lt;&gt;"", M14, 0)</f>
        <v>0</v>
      </c>
      <c r="I11" s="13"/>
      <c r="J11" s="14">
        <f t="shared" si="0"/>
        <v>27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M11, 0)</f>
        <v>0</v>
      </c>
      <c r="H12" s="13">
        <f>IF(D12&lt;&gt;"", M14, 0)</f>
        <v>0</v>
      </c>
      <c r="I12" s="13"/>
      <c r="J12" s="14">
        <f t="shared" si="0"/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 t="shared" si="0"/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 t="shared" si="0"/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 t="shared" si="0"/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 t="shared" si="0"/>
        <v>0</v>
      </c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189</v>
      </c>
      <c r="H18" s="20"/>
      <c r="I18" s="20"/>
      <c r="J18" s="35">
        <f>SUM(J2:J16)</f>
        <v>199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7</v>
      </c>
      <c r="F19" s="20"/>
      <c r="G19" s="37"/>
      <c r="H19" s="20"/>
      <c r="I19" s="20"/>
      <c r="J19" s="35"/>
      <c r="K19" s="35"/>
      <c r="L19" s="35" t="s">
        <v>17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>
        <v>201</v>
      </c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201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19" priority="1">
      <formula>LEN(TRIM(C2))&gt;0</formula>
    </cfRule>
    <cfRule type="containsBlanks" dxfId="18" priority="2">
      <formula>LEN(TRIM(C2))=0</formula>
    </cfRule>
  </conditionalFormatting>
  <hyperlinks>
    <hyperlink ref="G1" r:id="rId1" xr:uid="{D10B930C-9410-438B-8F0C-477092E276F0}"/>
    <hyperlink ref="H1" r:id="rId2" xr:uid="{3EC106F7-FECB-4323-B863-ABF584B380A5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687D-2981-4E33-9949-6A34E3871B1B}">
  <dimension ref="A1:Q24"/>
  <sheetViews>
    <sheetView workbookViewId="0">
      <selection activeCell="M20" sqref="M20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55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192</v>
      </c>
      <c r="D2" s="10"/>
      <c r="E2" s="11" t="b">
        <v>1</v>
      </c>
      <c r="F2" s="12"/>
      <c r="G2" s="13">
        <f>IF(C2&lt;&gt;"", M8, 0)</f>
        <v>28</v>
      </c>
      <c r="H2" s="13">
        <f>IF(D2&lt;&gt;"", M14, 0)</f>
        <v>0</v>
      </c>
      <c r="I2" s="13"/>
      <c r="J2" s="14">
        <f>SUM(G2:I2)</f>
        <v>28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193</v>
      </c>
      <c r="D3" s="9"/>
      <c r="E3" s="11" t="b">
        <v>1</v>
      </c>
      <c r="F3" s="9"/>
      <c r="G3" s="13">
        <f>IF(C3&lt;&gt;"", M8, 0)</f>
        <v>28</v>
      </c>
      <c r="H3" s="13">
        <f>IF(D3&lt;&gt;"", M14, 0)</f>
        <v>0</v>
      </c>
      <c r="I3" s="13"/>
      <c r="J3" s="14">
        <f t="shared" ref="J3:J16" si="0">SUM(G3:I3)</f>
        <v>28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194</v>
      </c>
      <c r="D4" s="9"/>
      <c r="E4" s="11" t="b">
        <v>1</v>
      </c>
      <c r="F4" s="9" t="s">
        <v>195</v>
      </c>
      <c r="G4" s="13">
        <f>IF(C4&lt;&gt;"", M8, 0)</f>
        <v>28</v>
      </c>
      <c r="H4" s="13">
        <f>IF(D4&lt;&gt;"", M14, 0)</f>
        <v>0</v>
      </c>
      <c r="I4" s="13">
        <v>10</v>
      </c>
      <c r="J4" s="14">
        <f t="shared" si="0"/>
        <v>38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196</v>
      </c>
      <c r="D5" s="9"/>
      <c r="E5" s="11" t="b">
        <v>1</v>
      </c>
      <c r="F5" s="9"/>
      <c r="G5" s="13">
        <f>IF(C5&lt;&gt;"", M8, 0)</f>
        <v>28</v>
      </c>
      <c r="H5" s="13">
        <f>IF(D5&lt;&gt;"", M14, 0)</f>
        <v>0</v>
      </c>
      <c r="I5" s="13"/>
      <c r="J5" s="14">
        <f t="shared" si="0"/>
        <v>28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 t="s">
        <v>197</v>
      </c>
      <c r="D6" s="9"/>
      <c r="E6" s="11" t="b">
        <v>1</v>
      </c>
      <c r="F6" s="23"/>
      <c r="G6" s="13">
        <f>IF(C6&lt;&gt;"", M8, 0)</f>
        <v>28</v>
      </c>
      <c r="H6" s="13">
        <f>IF(D6&lt;&gt;"", M14, 0)</f>
        <v>0</v>
      </c>
      <c r="I6" s="13"/>
      <c r="J6" s="14">
        <f t="shared" si="0"/>
        <v>28</v>
      </c>
      <c r="K6" s="20"/>
      <c r="L6" s="24" t="s">
        <v>37</v>
      </c>
      <c r="M6" s="71">
        <f>COUNTA(C2:C16)</f>
        <v>9</v>
      </c>
      <c r="N6" s="71"/>
      <c r="O6" s="25"/>
    </row>
    <row r="7" spans="1:17" ht="15">
      <c r="A7" s="7">
        <v>6</v>
      </c>
      <c r="B7" s="8" t="s">
        <v>21</v>
      </c>
      <c r="C7" s="9" t="s">
        <v>198</v>
      </c>
      <c r="D7" s="9"/>
      <c r="E7" s="11" t="b">
        <v>1</v>
      </c>
      <c r="F7" s="40" t="s">
        <v>199</v>
      </c>
      <c r="G7" s="13">
        <f>IF(C7&lt;&gt;"", M8, 0)</f>
        <v>28</v>
      </c>
      <c r="H7" s="13">
        <f>IF(D7&lt;&gt;"", M14, 0)</f>
        <v>0</v>
      </c>
      <c r="I7" s="13">
        <v>10</v>
      </c>
      <c r="J7" s="14">
        <f t="shared" si="0"/>
        <v>38</v>
      </c>
      <c r="K7" s="20"/>
      <c r="L7" s="26" t="s">
        <v>38</v>
      </c>
      <c r="M7" s="67">
        <f>269-10-10</f>
        <v>249</v>
      </c>
      <c r="N7" s="67"/>
      <c r="O7" s="27"/>
    </row>
    <row r="8" spans="1:17" ht="15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IF(C8&lt;&gt;"", M8, 0)</f>
        <v>0</v>
      </c>
      <c r="H8" s="13">
        <f>IF(D8&lt;&gt;"", M14, 0)</f>
        <v>0</v>
      </c>
      <c r="I8" s="13"/>
      <c r="J8" s="14">
        <f t="shared" si="0"/>
        <v>0</v>
      </c>
      <c r="K8" s="20"/>
      <c r="L8" s="26" t="s">
        <v>39</v>
      </c>
      <c r="M8" s="67">
        <f>ROUND(M7/M6,0)</f>
        <v>28</v>
      </c>
      <c r="N8" s="67"/>
      <c r="O8" s="21"/>
    </row>
    <row r="9" spans="1:17" ht="15">
      <c r="A9" s="7">
        <v>8</v>
      </c>
      <c r="B9" s="8" t="s">
        <v>23</v>
      </c>
      <c r="C9" s="9" t="s">
        <v>192</v>
      </c>
      <c r="D9" s="9"/>
      <c r="E9" s="11" t="b">
        <v>0</v>
      </c>
      <c r="F9" s="9" t="s">
        <v>200</v>
      </c>
      <c r="G9" s="13">
        <f>IF(C9&lt;&gt;"", M8, 0)</f>
        <v>28</v>
      </c>
      <c r="H9" s="13">
        <f>IF(D9&lt;&gt;"", M14, 0)</f>
        <v>0</v>
      </c>
      <c r="J9" s="14">
        <f t="shared" si="0"/>
        <v>28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201</v>
      </c>
      <c r="D10" s="9"/>
      <c r="E10" s="11" t="b">
        <v>1</v>
      </c>
      <c r="F10" s="32"/>
      <c r="G10" s="13">
        <f>IF(C10&lt;&gt;"", M8, 0)</f>
        <v>28</v>
      </c>
      <c r="H10" s="13">
        <f>IF(D10&lt;&gt;"", M14, 0)</f>
        <v>0</v>
      </c>
      <c r="I10" s="13"/>
      <c r="J10" s="14">
        <f t="shared" si="0"/>
        <v>28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 t="s">
        <v>197</v>
      </c>
      <c r="D11" s="9"/>
      <c r="E11" s="11" t="b">
        <v>1</v>
      </c>
      <c r="F11" s="9" t="s">
        <v>182</v>
      </c>
      <c r="G11" s="13">
        <f>IF(C11&lt;&gt;"", M8, 0)</f>
        <v>28</v>
      </c>
      <c r="H11" s="13">
        <f>IF(D11&lt;&gt;"", M14, 0)</f>
        <v>0</v>
      </c>
      <c r="I11" s="13"/>
      <c r="J11" s="14">
        <f t="shared" si="0"/>
        <v>28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M11, 0)</f>
        <v>0</v>
      </c>
      <c r="H12" s="13">
        <f>IF(D12&lt;&gt;"", M14, 0)</f>
        <v>0</v>
      </c>
      <c r="I12" s="13"/>
      <c r="J12" s="14">
        <f t="shared" si="0"/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 t="shared" si="0"/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 t="shared" si="0"/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 t="shared" si="0"/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 t="shared" si="0"/>
        <v>0</v>
      </c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252</v>
      </c>
      <c r="H18" s="20"/>
      <c r="I18" s="20"/>
      <c r="J18" s="35">
        <f>SUM(J2:J16)</f>
        <v>272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8</v>
      </c>
      <c r="F19" s="20"/>
      <c r="G19" s="37"/>
      <c r="H19" s="20"/>
      <c r="I19" s="20"/>
      <c r="J19" s="35"/>
      <c r="K19" s="35"/>
      <c r="L19" s="35" t="s">
        <v>17</v>
      </c>
      <c r="M19">
        <v>269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17" priority="1">
      <formula>LEN(TRIM(C2))&gt;0</formula>
    </cfRule>
    <cfRule type="containsBlanks" dxfId="16" priority="2">
      <formula>LEN(TRIM(C2))=0</formula>
    </cfRule>
  </conditionalFormatting>
  <hyperlinks>
    <hyperlink ref="G1" r:id="rId1" xr:uid="{A7A21118-5EA4-4F00-B5E9-A53329029340}"/>
    <hyperlink ref="H1" r:id="rId2" xr:uid="{894C6390-1B65-4BA5-90B6-D0095D203FBB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CE4A-D982-480D-BC9D-7D41664AA278}">
  <dimension ref="A1:Q24"/>
  <sheetViews>
    <sheetView workbookViewId="0">
      <selection activeCell="G11" sqref="G11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39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202</v>
      </c>
      <c r="D2" s="10"/>
      <c r="E2" s="11" t="b">
        <v>1</v>
      </c>
      <c r="F2" s="12"/>
      <c r="G2" s="13">
        <f>IF(C2&lt;&gt;"", M8, 0)</f>
        <v>27</v>
      </c>
      <c r="H2" s="13">
        <f>IF(D2&lt;&gt;"", M14, 0)</f>
        <v>0</v>
      </c>
      <c r="I2" s="13"/>
      <c r="J2" s="14">
        <f>SUM(G2:I2)</f>
        <v>27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202</v>
      </c>
      <c r="D3" s="9"/>
      <c r="E3" s="11" t="b">
        <v>1</v>
      </c>
      <c r="F3" s="9"/>
      <c r="G3" s="13">
        <f>IF(C3&lt;&gt;"", M8, 0)</f>
        <v>27</v>
      </c>
      <c r="H3" s="13">
        <f>IF(D3&lt;&gt;"", M14, 0)</f>
        <v>0</v>
      </c>
      <c r="I3" s="13"/>
      <c r="J3" s="14">
        <f t="shared" ref="J3:J16" si="0">SUM(G3:I3)</f>
        <v>27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/>
      <c r="D4" s="9"/>
      <c r="E4" s="11" t="b">
        <v>0</v>
      </c>
      <c r="F4" s="9"/>
      <c r="G4" s="13">
        <f>IF(C4&lt;&gt;"", M8, 0)</f>
        <v>0</v>
      </c>
      <c r="H4" s="13">
        <f>IF(D4&lt;&gt;"", M14, 0)</f>
        <v>0</v>
      </c>
      <c r="I4" s="13"/>
      <c r="J4" s="14">
        <f t="shared" si="0"/>
        <v>0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203</v>
      </c>
      <c r="D5" s="9"/>
      <c r="E5" s="11" t="b">
        <v>1</v>
      </c>
      <c r="F5" s="9"/>
      <c r="G5" s="13">
        <f>IF(C5&lt;&gt;"", M8, 0)</f>
        <v>27</v>
      </c>
      <c r="H5" s="13">
        <f>IF(D5&lt;&gt;"", M14, 0)</f>
        <v>0</v>
      </c>
      <c r="I5" s="13"/>
      <c r="J5" s="14">
        <f t="shared" si="0"/>
        <v>27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12" t="s">
        <v>203</v>
      </c>
      <c r="D6" s="9"/>
      <c r="E6" s="11" t="b">
        <v>1</v>
      </c>
      <c r="F6" s="23"/>
      <c r="G6" s="13">
        <f>IF(C6&lt;&gt;"", M8, 0)</f>
        <v>27</v>
      </c>
      <c r="H6" s="13">
        <f>IF(D6&lt;&gt;"", M14, 0)</f>
        <v>0</v>
      </c>
      <c r="I6" s="13"/>
      <c r="J6" s="14">
        <f t="shared" si="0"/>
        <v>27</v>
      </c>
      <c r="K6" s="20"/>
      <c r="L6" s="24" t="s">
        <v>37</v>
      </c>
      <c r="M6" s="71">
        <f>COUNTA(C2:C16)</f>
        <v>7</v>
      </c>
      <c r="N6" s="71"/>
      <c r="O6" s="25"/>
    </row>
    <row r="7" spans="1:17" ht="15">
      <c r="A7" s="7">
        <v>6</v>
      </c>
      <c r="B7" s="8" t="s">
        <v>21</v>
      </c>
      <c r="C7" s="9" t="s">
        <v>88</v>
      </c>
      <c r="D7" s="9"/>
      <c r="E7" s="11" t="b">
        <v>1</v>
      </c>
      <c r="F7" s="40"/>
      <c r="G7" s="13">
        <f>IF(C7&lt;&gt;"", M8, 0)</f>
        <v>27</v>
      </c>
      <c r="H7" s="13">
        <f>IF(D7&lt;&gt;"", M14, 0)</f>
        <v>0</v>
      </c>
      <c r="I7" s="13"/>
      <c r="J7" s="14">
        <f t="shared" si="0"/>
        <v>27</v>
      </c>
      <c r="K7" s="20"/>
      <c r="L7" s="26" t="s">
        <v>38</v>
      </c>
      <c r="M7" s="67">
        <v>190</v>
      </c>
      <c r="N7" s="67"/>
      <c r="O7" s="27"/>
    </row>
    <row r="8" spans="1:17" ht="15">
      <c r="A8" s="7">
        <v>7</v>
      </c>
      <c r="B8" s="8" t="s">
        <v>22</v>
      </c>
      <c r="C8" s="9" t="s">
        <v>204</v>
      </c>
      <c r="D8" s="9"/>
      <c r="E8" s="11" t="b">
        <v>1</v>
      </c>
      <c r="F8" s="9"/>
      <c r="G8" s="13">
        <f>IF(C8&lt;&gt;"", M8, 0)</f>
        <v>27</v>
      </c>
      <c r="H8" s="13">
        <f>IF(D8&lt;&gt;"", M14, 0)</f>
        <v>0</v>
      </c>
      <c r="I8" s="13"/>
      <c r="J8" s="14">
        <f t="shared" si="0"/>
        <v>27</v>
      </c>
      <c r="K8" s="20"/>
      <c r="L8" s="26" t="s">
        <v>39</v>
      </c>
      <c r="M8" s="67">
        <f>ROUND(M7/M6,0)</f>
        <v>27</v>
      </c>
      <c r="N8" s="67"/>
      <c r="O8" s="21"/>
    </row>
    <row r="9" spans="1:17" ht="15">
      <c r="A9" s="7">
        <v>8</v>
      </c>
      <c r="B9" s="8" t="s">
        <v>23</v>
      </c>
      <c r="C9" s="9" t="s">
        <v>3</v>
      </c>
      <c r="D9" s="9"/>
      <c r="E9" s="11" t="b">
        <v>1</v>
      </c>
      <c r="F9" s="9"/>
      <c r="G9" s="13">
        <f>IF(C9&lt;&gt;"", M8, 0)</f>
        <v>27</v>
      </c>
      <c r="H9" s="13">
        <f>IF(D9&lt;&gt;"", M14, 0)</f>
        <v>0</v>
      </c>
      <c r="J9" s="14">
        <f t="shared" si="0"/>
        <v>27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/>
      <c r="G10" s="13">
        <f>IF(C10&lt;&gt;"", M8, 0)</f>
        <v>0</v>
      </c>
      <c r="H10" s="13">
        <f>IF(D10&lt;&gt;"", M14, 0)</f>
        <v>0</v>
      </c>
      <c r="I10" s="13"/>
      <c r="J10" s="14">
        <f t="shared" si="0"/>
        <v>0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>
        <f>IF(D11&lt;&gt;"", M14, 0)</f>
        <v>0</v>
      </c>
      <c r="I11" s="13"/>
      <c r="J11" s="14">
        <f t="shared" si="0"/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M11, 0)</f>
        <v>0</v>
      </c>
      <c r="H12" s="13">
        <f>IF(D12&lt;&gt;"", M14, 0)</f>
        <v>0</v>
      </c>
      <c r="I12" s="13"/>
      <c r="J12" s="14">
        <f t="shared" si="0"/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 t="shared" si="0"/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 t="shared" si="0"/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 t="shared" si="0"/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 t="shared" si="0"/>
        <v>0</v>
      </c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189</v>
      </c>
      <c r="H18" s="20"/>
      <c r="I18" s="20"/>
      <c r="J18" s="35">
        <f>SUM(J2:J16)</f>
        <v>189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7</v>
      </c>
      <c r="F19" s="20"/>
      <c r="G19" s="37"/>
      <c r="H19" s="20"/>
      <c r="I19" s="20"/>
      <c r="J19" s="35"/>
      <c r="K19" s="35"/>
      <c r="L19" s="35" t="s">
        <v>17</v>
      </c>
      <c r="M19">
        <v>190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15" priority="1">
      <formula>LEN(TRIM(C2))&gt;0</formula>
    </cfRule>
    <cfRule type="containsBlanks" dxfId="14" priority="2">
      <formula>LEN(TRIM(C2))=0</formula>
    </cfRule>
  </conditionalFormatting>
  <hyperlinks>
    <hyperlink ref="G1" r:id="rId1" xr:uid="{F307B4BE-0FAD-45B8-9823-30EB9F79F622}"/>
    <hyperlink ref="H1" r:id="rId2" xr:uid="{008E8DB1-C09F-4DB6-AC3F-AEE94D7A0C72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0D5E-4147-4A9B-A758-DA8E693EE7EE}">
  <dimension ref="A1:Q24"/>
  <sheetViews>
    <sheetView workbookViewId="0">
      <selection activeCell="G7" sqref="G7"/>
    </sheetView>
  </sheetViews>
  <sheetFormatPr defaultRowHeight="14.2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39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 ht="15">
      <c r="A2" s="7" cm="1">
        <f t="array" ref="A2:A16">_xlfn.SEQUENCE(15)</f>
        <v>1</v>
      </c>
      <c r="B2" s="8" t="s">
        <v>16</v>
      </c>
      <c r="C2" s="9" t="s">
        <v>205</v>
      </c>
      <c r="D2" s="10"/>
      <c r="E2" s="11" t="b">
        <v>1</v>
      </c>
      <c r="F2" s="12"/>
      <c r="G2" s="13">
        <f>IF(C2&lt;&gt;"", M8, 0)</f>
        <v>26</v>
      </c>
      <c r="H2" s="13">
        <f>IF(D2&lt;&gt;"", M14, 0)</f>
        <v>0</v>
      </c>
      <c r="I2" s="13"/>
      <c r="J2" s="14">
        <f>SUM(G2:I2)</f>
        <v>26</v>
      </c>
      <c r="K2" s="2"/>
      <c r="L2" s="3"/>
      <c r="M2" s="15"/>
      <c r="N2" s="4"/>
      <c r="O2" s="5"/>
    </row>
    <row r="3" spans="1:17" ht="15">
      <c r="A3" s="7">
        <v>2</v>
      </c>
      <c r="B3" s="8" t="s">
        <v>17</v>
      </c>
      <c r="C3" s="9" t="s">
        <v>27</v>
      </c>
      <c r="D3" s="9"/>
      <c r="E3" s="11" t="b">
        <v>1</v>
      </c>
      <c r="F3" s="9"/>
      <c r="G3" s="13">
        <f>IF(C3&lt;&gt;"", M8, 0)</f>
        <v>26</v>
      </c>
      <c r="H3" s="13">
        <f>IF(D3&lt;&gt;"", M14, 0)</f>
        <v>0</v>
      </c>
      <c r="I3" s="13"/>
      <c r="J3" s="14">
        <f t="shared" ref="J3:J16" si="0">SUM(G3:I3)</f>
        <v>26</v>
      </c>
      <c r="K3" s="2"/>
      <c r="L3" s="3"/>
      <c r="M3" s="15"/>
      <c r="N3" s="4"/>
      <c r="O3" s="5"/>
    </row>
    <row r="4" spans="1:17" ht="15">
      <c r="A4" s="7">
        <v>3</v>
      </c>
      <c r="B4" s="8" t="s">
        <v>18</v>
      </c>
      <c r="C4" s="9" t="s">
        <v>206</v>
      </c>
      <c r="D4" s="9"/>
      <c r="E4" s="11" t="b">
        <v>1</v>
      </c>
      <c r="F4" s="9"/>
      <c r="G4" s="13">
        <f>IF(C4&lt;&gt;"", M8, 0)</f>
        <v>26</v>
      </c>
      <c r="H4" s="13">
        <f>IF(D4&lt;&gt;"", M14, 0)</f>
        <v>0</v>
      </c>
      <c r="I4" s="13"/>
      <c r="J4" s="14">
        <f t="shared" si="0"/>
        <v>26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207</v>
      </c>
      <c r="D5" s="9"/>
      <c r="E5" s="11" t="b">
        <v>1</v>
      </c>
      <c r="F5" s="9"/>
      <c r="G5" s="13">
        <f>IF(C5&lt;&gt;"", M8, 0)</f>
        <v>26</v>
      </c>
      <c r="H5" s="13">
        <f>IF(D5&lt;&gt;"", M14, 0)</f>
        <v>0</v>
      </c>
      <c r="I5" s="13"/>
      <c r="J5" s="14">
        <f t="shared" si="0"/>
        <v>26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>
        <f>IF(D6&lt;&gt;"", M14, 0)</f>
        <v>0</v>
      </c>
      <c r="I6" s="13"/>
      <c r="J6" s="14">
        <f t="shared" si="0"/>
        <v>0</v>
      </c>
      <c r="K6" s="20"/>
      <c r="L6" s="24" t="s">
        <v>37</v>
      </c>
      <c r="M6" s="71">
        <f>COUNTA(C2:C16)</f>
        <v>9</v>
      </c>
      <c r="N6" s="71"/>
      <c r="O6" s="25"/>
    </row>
    <row r="7" spans="1:17" ht="15">
      <c r="A7" s="7">
        <v>6</v>
      </c>
      <c r="B7" s="8" t="s">
        <v>21</v>
      </c>
      <c r="C7" s="9" t="s">
        <v>208</v>
      </c>
      <c r="D7" s="9"/>
      <c r="E7" s="11" t="b">
        <v>0</v>
      </c>
      <c r="F7" s="40" t="s">
        <v>180</v>
      </c>
      <c r="G7" s="13">
        <f>IF(C7&lt;&gt;"", M8, 0)</f>
        <v>26</v>
      </c>
      <c r="H7" s="13">
        <f>IF(D7&lt;&gt;"", M14, 0)</f>
        <v>0</v>
      </c>
      <c r="I7" s="13"/>
      <c r="J7" s="14">
        <f t="shared" si="0"/>
        <v>26</v>
      </c>
      <c r="K7" s="20"/>
      <c r="L7" s="26" t="s">
        <v>38</v>
      </c>
      <c r="M7" s="67">
        <v>237</v>
      </c>
      <c r="N7" s="67"/>
      <c r="O7" s="27"/>
    </row>
    <row r="8" spans="1:17" ht="15">
      <c r="A8" s="7">
        <v>7</v>
      </c>
      <c r="B8" s="8" t="s">
        <v>22</v>
      </c>
      <c r="C8" s="9" t="s">
        <v>209</v>
      </c>
      <c r="D8" s="9"/>
      <c r="E8" s="11" t="b">
        <v>0</v>
      </c>
      <c r="F8" s="9"/>
      <c r="G8" s="13">
        <f>IF(C8&lt;&gt;"", M8, 0)</f>
        <v>26</v>
      </c>
      <c r="H8" s="13">
        <f>IF(D8&lt;&gt;"", M14, 0)</f>
        <v>0</v>
      </c>
      <c r="I8" s="13"/>
      <c r="J8" s="14">
        <f t="shared" si="0"/>
        <v>26</v>
      </c>
      <c r="K8" s="20"/>
      <c r="L8" s="26" t="s">
        <v>39</v>
      </c>
      <c r="M8" s="67">
        <f>ROUND(M7/M6,0)</f>
        <v>26</v>
      </c>
      <c r="N8" s="67"/>
      <c r="O8" s="21"/>
    </row>
    <row r="9" spans="1:17" ht="15">
      <c r="A9" s="7">
        <v>8</v>
      </c>
      <c r="B9" s="8" t="s">
        <v>23</v>
      </c>
      <c r="C9" s="9" t="s">
        <v>210</v>
      </c>
      <c r="D9" s="9"/>
      <c r="E9" s="11" t="b">
        <v>0</v>
      </c>
      <c r="F9" s="9"/>
      <c r="G9" s="13">
        <f>IF(C9&lt;&gt;"", M8, 0)</f>
        <v>26</v>
      </c>
      <c r="H9" s="13">
        <f>IF(D9&lt;&gt;"", M14, 0)</f>
        <v>0</v>
      </c>
      <c r="J9" s="14">
        <f t="shared" si="0"/>
        <v>26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211</v>
      </c>
      <c r="D10" s="9"/>
      <c r="E10" s="11" t="b">
        <v>0</v>
      </c>
      <c r="F10" s="32"/>
      <c r="G10" s="13">
        <f>IF(C10&lt;&gt;"", M8, 0)</f>
        <v>26</v>
      </c>
      <c r="H10" s="13">
        <f>IF(D10&lt;&gt;"", M14, 0)</f>
        <v>0</v>
      </c>
      <c r="I10" s="13"/>
      <c r="J10" s="14">
        <f t="shared" si="0"/>
        <v>26</v>
      </c>
      <c r="K10" s="2"/>
      <c r="L10" s="3"/>
      <c r="M10" s="15"/>
      <c r="N10" s="4"/>
      <c r="O10" s="5"/>
    </row>
    <row r="11" spans="1:17" ht="15">
      <c r="A11" s="7">
        <v>10</v>
      </c>
      <c r="B11" s="13" t="s">
        <v>25</v>
      </c>
      <c r="C11" s="9" t="s">
        <v>87</v>
      </c>
      <c r="D11" s="9"/>
      <c r="E11" s="11" t="b">
        <v>0</v>
      </c>
      <c r="F11" s="9"/>
      <c r="G11" s="13">
        <f>IF(C11&lt;&gt;"", M8, 0)</f>
        <v>26</v>
      </c>
      <c r="H11" s="13">
        <f>IF(D11&lt;&gt;"", M14, 0)</f>
        <v>0</v>
      </c>
      <c r="I11" s="13"/>
      <c r="J11" s="14">
        <f t="shared" si="0"/>
        <v>26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M8, 0)</f>
        <v>0</v>
      </c>
      <c r="H12" s="13">
        <f>IF(D12&lt;&gt;"", M14, 0)</f>
        <v>0</v>
      </c>
      <c r="I12" s="13"/>
      <c r="J12" s="14">
        <f t="shared" si="0"/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 ht="15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 t="shared" si="0"/>
        <v>0</v>
      </c>
      <c r="K13" s="20"/>
      <c r="L13" s="26" t="s">
        <v>38</v>
      </c>
      <c r="M13" s="67"/>
      <c r="N13" s="67"/>
      <c r="O13" s="34"/>
    </row>
    <row r="14" spans="1:17" ht="15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 t="shared" si="0"/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 ht="15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 t="shared" si="0"/>
        <v>0</v>
      </c>
      <c r="K15" s="2"/>
      <c r="L15" s="3"/>
      <c r="M15" s="15"/>
      <c r="N15" s="4"/>
      <c r="O15" s="5"/>
    </row>
    <row r="16" spans="1:17" ht="15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 t="shared" si="0"/>
        <v>0</v>
      </c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 ht="15">
      <c r="A18" s="20"/>
      <c r="B18" s="20"/>
      <c r="C18" s="20"/>
      <c r="D18" s="20"/>
      <c r="E18" s="20"/>
      <c r="F18" s="20"/>
      <c r="G18" s="20">
        <f>SUM(G2:G16)</f>
        <v>234</v>
      </c>
      <c r="H18" s="20"/>
      <c r="I18" s="20"/>
      <c r="J18" s="35">
        <f>SUM(J2:J16)</f>
        <v>234</v>
      </c>
      <c r="K18" s="35"/>
      <c r="L18" s="35"/>
    </row>
    <row r="19" spans="1:15" ht="15">
      <c r="A19" s="20"/>
      <c r="B19" s="20"/>
      <c r="C19" s="20"/>
      <c r="D19" s="20"/>
      <c r="E19" s="20">
        <f>COUNTIF(E2:E16,TRUE)</f>
        <v>4</v>
      </c>
      <c r="F19" s="20"/>
      <c r="G19" s="37"/>
      <c r="H19" s="20"/>
      <c r="I19" s="20"/>
      <c r="J19" s="35"/>
      <c r="K19" s="35"/>
      <c r="L19" s="35" t="s">
        <v>17</v>
      </c>
      <c r="M19">
        <v>237</v>
      </c>
    </row>
    <row r="20" spans="1:15" ht="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 ht="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 ht="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 ht="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 ht="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13" priority="1">
      <formula>LEN(TRIM(C2))&gt;0</formula>
    </cfRule>
    <cfRule type="containsBlanks" dxfId="12" priority="2">
      <formula>LEN(TRIM(C2))=0</formula>
    </cfRule>
  </conditionalFormatting>
  <hyperlinks>
    <hyperlink ref="G1" r:id="rId1" xr:uid="{9B68FB89-B4D6-4A4C-AFDA-A9E18DC59F86}"/>
    <hyperlink ref="H1" r:id="rId2" xr:uid="{4AF16611-505B-4AFD-91B0-FBCD55C00549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C89E-5F5A-4778-A3E8-E3059D72B62B}">
  <dimension ref="A1:Q24"/>
  <sheetViews>
    <sheetView workbookViewId="0">
      <selection activeCell="G13" sqref="G13"/>
    </sheetView>
  </sheetViews>
  <sheetFormatPr defaultRowHeight="13.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39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>
      <c r="A2" s="7" cm="1">
        <f t="array" ref="A2:A16">_xlfn.SEQUENCE(15)</f>
        <v>1</v>
      </c>
      <c r="B2" s="8" t="s">
        <v>16</v>
      </c>
      <c r="C2" s="9" t="s">
        <v>212</v>
      </c>
      <c r="D2" s="10"/>
      <c r="E2" s="11" t="b">
        <v>0</v>
      </c>
      <c r="F2" s="12"/>
      <c r="G2" s="13">
        <f>IF(C2&lt;&gt;"", M8, 0)</f>
        <v>27</v>
      </c>
      <c r="H2" s="13">
        <f>IF(D2&lt;&gt;"", M14, 0)</f>
        <v>0</v>
      </c>
      <c r="I2" s="13"/>
      <c r="J2" s="14">
        <f>SUM(G2:I2)</f>
        <v>27</v>
      </c>
      <c r="K2" s="2"/>
      <c r="L2" s="3"/>
      <c r="M2" s="15"/>
      <c r="N2" s="4"/>
      <c r="O2" s="5"/>
    </row>
    <row r="3" spans="1:17">
      <c r="A3" s="7">
        <v>2</v>
      </c>
      <c r="B3" s="8" t="s">
        <v>17</v>
      </c>
      <c r="C3" s="9"/>
      <c r="D3" s="9"/>
      <c r="E3" s="11" t="b">
        <v>0</v>
      </c>
      <c r="F3" s="9"/>
      <c r="G3" s="13">
        <f>IF(C3&lt;&gt;"", M8, 0)</f>
        <v>0</v>
      </c>
      <c r="H3" s="13">
        <f>IF(D3&lt;&gt;"", M14, 0)</f>
        <v>0</v>
      </c>
      <c r="I3" s="13"/>
      <c r="J3" s="14">
        <f t="shared" ref="J3:J16" si="0">SUM(G3:I3)</f>
        <v>0</v>
      </c>
      <c r="K3" s="2"/>
      <c r="L3" s="3"/>
      <c r="M3" s="15"/>
      <c r="N3" s="4"/>
      <c r="O3" s="5"/>
    </row>
    <row r="4" spans="1:17">
      <c r="A4" s="7">
        <v>3</v>
      </c>
      <c r="B4" s="8" t="s">
        <v>18</v>
      </c>
      <c r="C4" s="9" t="s">
        <v>206</v>
      </c>
      <c r="D4" s="9"/>
      <c r="E4" s="11" t="b">
        <v>1</v>
      </c>
      <c r="F4" s="9"/>
      <c r="G4" s="13">
        <f>IF(C4&lt;&gt;"", M8, 0)</f>
        <v>27</v>
      </c>
      <c r="H4" s="13">
        <f>IF(D4&lt;&gt;"", M14, 0)</f>
        <v>0</v>
      </c>
      <c r="I4" s="13"/>
      <c r="J4" s="14">
        <f t="shared" si="0"/>
        <v>27</v>
      </c>
      <c r="K4" s="16"/>
      <c r="L4" s="17"/>
      <c r="M4" s="18"/>
      <c r="N4" s="19"/>
      <c r="O4" s="5"/>
    </row>
    <row r="5" spans="1:17" ht="15">
      <c r="A5" s="7">
        <v>4</v>
      </c>
      <c r="B5" s="8" t="s">
        <v>19</v>
      </c>
      <c r="C5" s="12" t="s">
        <v>71</v>
      </c>
      <c r="D5" s="9"/>
      <c r="E5" s="11" t="b">
        <v>1</v>
      </c>
      <c r="F5" s="9"/>
      <c r="G5" s="13">
        <f>IF(C5&lt;&gt;"", M8, 0)</f>
        <v>27</v>
      </c>
      <c r="H5" s="13">
        <f>IF(D5&lt;&gt;"", M14, 0)</f>
        <v>0</v>
      </c>
      <c r="I5" s="13"/>
      <c r="J5" s="14">
        <f t="shared" si="0"/>
        <v>27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 t="s">
        <v>213</v>
      </c>
      <c r="D6" s="9"/>
      <c r="E6" s="11" t="b">
        <v>1</v>
      </c>
      <c r="F6" s="23"/>
      <c r="G6" s="13">
        <f>IF(C6&lt;&gt;"", M8, 0)</f>
        <v>27</v>
      </c>
      <c r="H6" s="13">
        <f>IF(D6&lt;&gt;"", M14, 0)</f>
        <v>0</v>
      </c>
      <c r="I6" s="13"/>
      <c r="J6" s="14">
        <f t="shared" si="0"/>
        <v>27</v>
      </c>
      <c r="K6" s="20"/>
      <c r="L6" s="24" t="s">
        <v>37</v>
      </c>
      <c r="M6" s="71">
        <f>COUNTA(C2:C16)</f>
        <v>8</v>
      </c>
      <c r="N6" s="71"/>
      <c r="O6" s="25"/>
    </row>
    <row r="7" spans="1:17" ht="15">
      <c r="A7" s="7">
        <v>6</v>
      </c>
      <c r="B7" s="8" t="s">
        <v>21</v>
      </c>
      <c r="C7" s="9" t="s">
        <v>214</v>
      </c>
      <c r="D7" s="9"/>
      <c r="E7" s="11" t="b">
        <v>1</v>
      </c>
      <c r="F7" s="40"/>
      <c r="G7" s="13">
        <f>IF(C7&lt;&gt;"", M8, 0)</f>
        <v>27</v>
      </c>
      <c r="H7" s="13">
        <f>IF(D7&lt;&gt;"", M14, 0)</f>
        <v>0</v>
      </c>
      <c r="I7" s="13"/>
      <c r="J7" s="14">
        <f t="shared" si="0"/>
        <v>27</v>
      </c>
      <c r="K7" s="20"/>
      <c r="L7" s="26" t="s">
        <v>38</v>
      </c>
      <c r="M7" s="67">
        <v>215</v>
      </c>
      <c r="N7" s="67"/>
      <c r="O7" s="27"/>
    </row>
    <row r="8" spans="1:17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IF(C8&lt;&gt;"", M8, 0)</f>
        <v>0</v>
      </c>
      <c r="H8" s="13">
        <f>IF(D8&lt;&gt;"", M14, 0)</f>
        <v>0</v>
      </c>
      <c r="I8" s="13"/>
      <c r="J8" s="14">
        <f t="shared" si="0"/>
        <v>0</v>
      </c>
      <c r="K8" s="20"/>
      <c r="L8" s="26" t="s">
        <v>39</v>
      </c>
      <c r="M8" s="67">
        <f>ROUND(M7/M6,0)</f>
        <v>27</v>
      </c>
      <c r="N8" s="67"/>
      <c r="O8" s="21"/>
    </row>
    <row r="9" spans="1:17">
      <c r="A9" s="7">
        <v>8</v>
      </c>
      <c r="B9" s="8" t="s">
        <v>23</v>
      </c>
      <c r="C9" s="9" t="s">
        <v>65</v>
      </c>
      <c r="D9" s="9"/>
      <c r="E9" s="11" t="b">
        <v>1</v>
      </c>
      <c r="F9" s="9"/>
      <c r="G9" s="13">
        <f>IF(C9&lt;&gt;"", M8, 0)</f>
        <v>27</v>
      </c>
      <c r="H9" s="13">
        <f>IF(D9&lt;&gt;"", M14, 0)</f>
        <v>0</v>
      </c>
      <c r="J9" s="14">
        <f t="shared" si="0"/>
        <v>27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215</v>
      </c>
      <c r="D10" s="9"/>
      <c r="E10" s="11" t="b">
        <v>0</v>
      </c>
      <c r="F10" s="32"/>
      <c r="G10" s="13">
        <f>IF(C10&lt;&gt;"", M8, 0)</f>
        <v>27</v>
      </c>
      <c r="H10" s="13">
        <f>IF(D10&lt;&gt;"", M14, 0)</f>
        <v>0</v>
      </c>
      <c r="I10" s="13"/>
      <c r="J10" s="14">
        <f t="shared" si="0"/>
        <v>27</v>
      </c>
      <c r="K10" s="2"/>
      <c r="L10" s="3"/>
      <c r="M10" s="15"/>
      <c r="N10" s="4"/>
      <c r="O10" s="5"/>
    </row>
    <row r="11" spans="1:17">
      <c r="A11" s="7">
        <v>10</v>
      </c>
      <c r="B11" s="13" t="s">
        <v>25</v>
      </c>
      <c r="C11" s="9" t="s">
        <v>0</v>
      </c>
      <c r="D11" s="9"/>
      <c r="E11" s="11" t="b">
        <v>0</v>
      </c>
      <c r="F11" s="9"/>
      <c r="G11" s="13">
        <f>IF(C11&lt;&gt;"", M8, 0)</f>
        <v>27</v>
      </c>
      <c r="H11" s="13">
        <f>IF(D11&lt;&gt;"", M14, 0)</f>
        <v>0</v>
      </c>
      <c r="I11" s="13"/>
      <c r="J11" s="14">
        <f t="shared" si="0"/>
        <v>27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IF(C12&lt;&gt;"", M8, 0)</f>
        <v>0</v>
      </c>
      <c r="H12" s="13">
        <f>IF(D12&lt;&gt;"", M14, 0)</f>
        <v>0</v>
      </c>
      <c r="I12" s="13"/>
      <c r="J12" s="14">
        <f t="shared" si="0"/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 t="shared" si="0"/>
        <v>0</v>
      </c>
      <c r="K13" s="20"/>
      <c r="L13" s="26" t="s">
        <v>38</v>
      </c>
      <c r="M13" s="67"/>
      <c r="N13" s="67"/>
      <c r="O13" s="34"/>
    </row>
    <row r="14" spans="1:17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 t="shared" si="0"/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 t="shared" si="0"/>
        <v>0</v>
      </c>
      <c r="K15" s="2"/>
      <c r="L15" s="3"/>
      <c r="M15" s="15"/>
      <c r="N15" s="4"/>
      <c r="O15" s="5"/>
    </row>
    <row r="16" spans="1:17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 t="shared" si="0"/>
        <v>0</v>
      </c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>
      <c r="A18" s="20"/>
      <c r="B18" s="20"/>
      <c r="C18" s="20"/>
      <c r="D18" s="20"/>
      <c r="E18" s="20"/>
      <c r="F18" s="20"/>
      <c r="G18" s="20">
        <f>SUM(G2:G16)</f>
        <v>216</v>
      </c>
      <c r="H18" s="20"/>
      <c r="I18" s="20"/>
      <c r="J18" s="35">
        <f>SUM(J2:J16)</f>
        <v>216</v>
      </c>
      <c r="K18" s="35"/>
      <c r="L18" s="35"/>
    </row>
    <row r="19" spans="1:15">
      <c r="A19" s="20"/>
      <c r="B19" s="20"/>
      <c r="C19" s="20"/>
      <c r="D19" s="20"/>
      <c r="E19" s="20">
        <f>COUNTIF(E2:E16,TRUE)</f>
        <v>5</v>
      </c>
      <c r="F19" s="20"/>
      <c r="G19" s="37"/>
      <c r="H19" s="20"/>
      <c r="I19" s="20"/>
      <c r="J19" s="35"/>
      <c r="K19" s="35"/>
      <c r="L19" s="35" t="s">
        <v>17</v>
      </c>
      <c r="M19">
        <v>215</v>
      </c>
    </row>
    <row r="20" spans="1: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11" priority="1">
      <formula>LEN(TRIM(C2))&gt;0</formula>
    </cfRule>
    <cfRule type="containsBlanks" dxfId="10" priority="2">
      <formula>LEN(TRIM(C2))=0</formula>
    </cfRule>
  </conditionalFormatting>
  <hyperlinks>
    <hyperlink ref="G1" r:id="rId1" xr:uid="{72E82785-A960-49AB-B7B8-A8EB52ADBDA3}"/>
    <hyperlink ref="H1" r:id="rId2" xr:uid="{BC9A974D-22CA-4D03-81FE-FB12121EBC58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036C-7C3A-4222-9A63-AA1B37440FA6}">
  <dimension ref="A1:Q24"/>
  <sheetViews>
    <sheetView workbookViewId="0">
      <selection activeCell="G7" sqref="G7"/>
    </sheetView>
  </sheetViews>
  <sheetFormatPr defaultRowHeight="13.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39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>
      <c r="A2" s="7" cm="1">
        <f t="array" ref="A2:A16">_xlfn.SEQUENCE(15)</f>
        <v>1</v>
      </c>
      <c r="B2" s="8" t="s">
        <v>16</v>
      </c>
      <c r="C2" s="9" t="s">
        <v>216</v>
      </c>
      <c r="D2" s="10"/>
      <c r="E2" s="11" t="b">
        <v>0</v>
      </c>
      <c r="F2" s="12"/>
      <c r="G2" s="13">
        <f>IF(C2&lt;&gt;"", M8, 0)</f>
        <v>27</v>
      </c>
      <c r="H2" s="13">
        <f>IF(D2&lt;&gt;"", M14, 0)</f>
        <v>0</v>
      </c>
      <c r="I2" s="13"/>
      <c r="J2" s="14">
        <f>SUM(G2:I2)</f>
        <v>27</v>
      </c>
      <c r="K2" s="2"/>
      <c r="L2" s="3"/>
      <c r="M2" s="15"/>
      <c r="N2" s="4"/>
      <c r="O2" s="5"/>
    </row>
    <row r="3" spans="1:17">
      <c r="A3" s="7">
        <v>2</v>
      </c>
      <c r="B3" s="8" t="s">
        <v>17</v>
      </c>
      <c r="C3" s="9" t="s">
        <v>216</v>
      </c>
      <c r="D3" s="9"/>
      <c r="E3" s="11" t="b">
        <v>0</v>
      </c>
      <c r="F3" s="9"/>
      <c r="G3" s="13">
        <f>IF(C3&lt;&gt;"", M8, 0)</f>
        <v>27</v>
      </c>
      <c r="H3" s="13">
        <f>IF(D3&lt;&gt;"", M14, 0)</f>
        <v>0</v>
      </c>
      <c r="I3" s="13"/>
      <c r="J3" s="14">
        <f t="shared" ref="J3:J16" si="0">SUM(G3:I3)</f>
        <v>27</v>
      </c>
      <c r="K3" s="2"/>
      <c r="L3" s="3"/>
      <c r="M3" s="15"/>
      <c r="N3" s="4"/>
      <c r="O3" s="5"/>
    </row>
    <row r="4" spans="1:17">
      <c r="A4" s="7">
        <v>3</v>
      </c>
      <c r="B4" s="8" t="s">
        <v>18</v>
      </c>
      <c r="C4" s="9" t="s">
        <v>217</v>
      </c>
      <c r="D4" s="9"/>
      <c r="E4" s="11" t="b">
        <v>0</v>
      </c>
      <c r="F4" s="9"/>
      <c r="G4" s="13">
        <f>IF(C4&lt;&gt;"", M8, 0)</f>
        <v>27</v>
      </c>
      <c r="H4" s="13">
        <f>IF(D4&lt;&gt;"", M14, 0)</f>
        <v>0</v>
      </c>
      <c r="I4" s="13"/>
      <c r="J4" s="14">
        <f t="shared" si="0"/>
        <v>27</v>
      </c>
      <c r="K4" s="16"/>
      <c r="L4" s="17"/>
      <c r="M4" s="18"/>
      <c r="N4" s="19"/>
      <c r="O4" s="5"/>
    </row>
    <row r="5" spans="1:17">
      <c r="A5" s="7">
        <v>4</v>
      </c>
      <c r="B5" s="8" t="s">
        <v>19</v>
      </c>
      <c r="C5" s="12" t="s">
        <v>218</v>
      </c>
      <c r="D5" s="9"/>
      <c r="E5" s="11" t="b">
        <v>0</v>
      </c>
      <c r="F5" s="9"/>
      <c r="G5" s="13">
        <f>IF(C5&lt;&gt;"", M8, 0)</f>
        <v>27</v>
      </c>
      <c r="H5" s="13">
        <f>IF(D5&lt;&gt;"", M14, 0)</f>
        <v>0</v>
      </c>
      <c r="I5" s="13"/>
      <c r="J5" s="14">
        <f t="shared" si="0"/>
        <v>27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>
        <f>IF(D6&lt;&gt;"", M14, 0)</f>
        <v>0</v>
      </c>
      <c r="I6" s="13"/>
      <c r="J6" s="14">
        <f t="shared" si="0"/>
        <v>0</v>
      </c>
      <c r="K6" s="20"/>
      <c r="L6" s="24" t="s">
        <v>37</v>
      </c>
      <c r="M6" s="71">
        <f>COUNTA(C2:C16)</f>
        <v>8</v>
      </c>
      <c r="N6" s="71"/>
      <c r="O6" s="25"/>
    </row>
    <row r="7" spans="1:17" ht="15">
      <c r="A7" s="7">
        <v>6</v>
      </c>
      <c r="B7" s="8" t="s">
        <v>21</v>
      </c>
      <c r="C7" s="9" t="s">
        <v>219</v>
      </c>
      <c r="D7" s="9"/>
      <c r="E7" s="11" t="b">
        <v>1</v>
      </c>
      <c r="F7" s="40"/>
      <c r="G7" s="13">
        <f>IF(C7&lt;&gt;"", M8, 0)</f>
        <v>27</v>
      </c>
      <c r="H7" s="13">
        <f>IF(D7&lt;&gt;"", M14, 0)</f>
        <v>0</v>
      </c>
      <c r="I7" s="13"/>
      <c r="J7" s="14">
        <f t="shared" si="0"/>
        <v>27</v>
      </c>
      <c r="K7" s="20"/>
      <c r="L7" s="26" t="s">
        <v>38</v>
      </c>
      <c r="M7" s="67">
        <v>213</v>
      </c>
      <c r="N7" s="67"/>
      <c r="O7" s="27"/>
    </row>
    <row r="8" spans="1:17">
      <c r="A8" s="7">
        <v>7</v>
      </c>
      <c r="B8" s="8" t="s">
        <v>22</v>
      </c>
      <c r="C8" s="9"/>
      <c r="D8" s="9"/>
      <c r="E8" s="11" t="b">
        <v>0</v>
      </c>
      <c r="F8" s="9"/>
      <c r="G8" s="13">
        <f>IF(C8&lt;&gt;"", M8, 0)</f>
        <v>0</v>
      </c>
      <c r="H8" s="13">
        <f>IF(D8&lt;&gt;"", M14, 0)</f>
        <v>0</v>
      </c>
      <c r="I8" s="13"/>
      <c r="J8" s="14">
        <f t="shared" si="0"/>
        <v>0</v>
      </c>
      <c r="K8" s="20"/>
      <c r="L8" s="26" t="s">
        <v>39</v>
      </c>
      <c r="M8" s="67">
        <f>ROUND(M7/M6,0)</f>
        <v>27</v>
      </c>
      <c r="N8" s="67"/>
      <c r="O8" s="21"/>
    </row>
    <row r="9" spans="1:17">
      <c r="A9" s="7">
        <v>8</v>
      </c>
      <c r="B9" s="8" t="s">
        <v>23</v>
      </c>
      <c r="C9" s="9" t="s">
        <v>220</v>
      </c>
      <c r="D9" s="9"/>
      <c r="E9" s="11" t="b">
        <v>1</v>
      </c>
      <c r="F9" s="9"/>
      <c r="G9" s="13">
        <f>IF(C9&lt;&gt;"", M8, 0)</f>
        <v>27</v>
      </c>
      <c r="H9" s="13">
        <f>IF(D9&lt;&gt;"", M14, 0)</f>
        <v>0</v>
      </c>
      <c r="J9" s="14">
        <f t="shared" si="0"/>
        <v>27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221</v>
      </c>
      <c r="D10" s="9"/>
      <c r="E10" s="11" t="b">
        <v>1</v>
      </c>
      <c r="F10" s="32"/>
      <c r="G10" s="13">
        <f>IF(C10&lt;&gt;"", M8, 0)</f>
        <v>27</v>
      </c>
      <c r="H10" s="13">
        <f>IF(D10&lt;&gt;"", M14, 0)</f>
        <v>0</v>
      </c>
      <c r="I10" s="13"/>
      <c r="J10" s="14">
        <f t="shared" si="0"/>
        <v>27</v>
      </c>
      <c r="K10" s="2"/>
      <c r="L10" s="3"/>
      <c r="M10" s="15"/>
      <c r="N10" s="4"/>
      <c r="O10" s="5"/>
    </row>
    <row r="11" spans="1:17">
      <c r="A11" s="7">
        <v>10</v>
      </c>
      <c r="B11" s="13" t="s">
        <v>25</v>
      </c>
      <c r="C11" s="9" t="s">
        <v>222</v>
      </c>
      <c r="D11" s="9"/>
      <c r="E11" s="11" t="b">
        <v>1</v>
      </c>
      <c r="F11" s="9"/>
      <c r="G11" s="13">
        <f>IF(C11&lt;&gt;"", M8, 0)</f>
        <v>27</v>
      </c>
      <c r="H11" s="13">
        <f>IF(D11&lt;&gt;"", M14, 0)</f>
        <v>0</v>
      </c>
      <c r="I11" s="13"/>
      <c r="J11" s="14">
        <f t="shared" si="0"/>
        <v>27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M8, 0)</f>
        <v>0</v>
      </c>
      <c r="H12" s="13">
        <f>IF(D12&lt;&gt;"", M14, 0)</f>
        <v>0</v>
      </c>
      <c r="I12" s="13"/>
      <c r="J12" s="14">
        <f t="shared" si="0"/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 t="shared" si="0"/>
        <v>0</v>
      </c>
      <c r="K13" s="20"/>
      <c r="L13" s="26" t="s">
        <v>38</v>
      </c>
      <c r="M13" s="67"/>
      <c r="N13" s="67"/>
      <c r="O13" s="34"/>
    </row>
    <row r="14" spans="1:17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 t="shared" si="0"/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 t="shared" si="0"/>
        <v>0</v>
      </c>
      <c r="K15" s="2"/>
      <c r="L15" s="3"/>
      <c r="M15" s="15"/>
      <c r="N15" s="4"/>
      <c r="O15" s="5"/>
    </row>
    <row r="16" spans="1:17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 t="shared" si="0"/>
        <v>0</v>
      </c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>
      <c r="A18" s="20"/>
      <c r="B18" s="20"/>
      <c r="C18" s="20"/>
      <c r="D18" s="20"/>
      <c r="E18" s="20"/>
      <c r="F18" s="20"/>
      <c r="G18" s="20">
        <f>SUM(G2:G16)</f>
        <v>216</v>
      </c>
      <c r="H18" s="20"/>
      <c r="I18" s="20"/>
      <c r="J18" s="35">
        <f>SUM(J2:J16)</f>
        <v>216</v>
      </c>
      <c r="K18" s="35"/>
      <c r="L18" s="35"/>
    </row>
    <row r="19" spans="1:15">
      <c r="A19" s="20"/>
      <c r="B19" s="20"/>
      <c r="C19" s="20"/>
      <c r="D19" s="20"/>
      <c r="E19" s="20">
        <f>COUNTIF(E2:E16,TRUE)</f>
        <v>4</v>
      </c>
      <c r="F19" s="20"/>
      <c r="G19" s="37"/>
      <c r="H19" s="20"/>
      <c r="I19" s="20"/>
      <c r="J19" s="35"/>
      <c r="K19" s="35"/>
      <c r="L19" s="35" t="s">
        <v>17</v>
      </c>
      <c r="M19">
        <v>213</v>
      </c>
    </row>
    <row r="20" spans="1: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</row>
    <row r="22" spans="1: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9" priority="1">
      <formula>LEN(TRIM(C2))&gt;0</formula>
    </cfRule>
    <cfRule type="containsBlanks" dxfId="8" priority="2">
      <formula>LEN(TRIM(C2))=0</formula>
    </cfRule>
  </conditionalFormatting>
  <hyperlinks>
    <hyperlink ref="G1" r:id="rId1" xr:uid="{1F59D72A-C98A-413F-9DF1-E4CF8841CFAB}"/>
    <hyperlink ref="H1" r:id="rId2" xr:uid="{D659F739-A2A0-4368-BF76-F0A82521C1C6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38CD-380B-456E-B3D1-3616939166C1}">
  <dimension ref="A1:Q24"/>
  <sheetViews>
    <sheetView topLeftCell="B1" workbookViewId="0">
      <selection activeCell="F33" sqref="F33"/>
    </sheetView>
  </sheetViews>
  <sheetFormatPr defaultRowHeight="13.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39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>
      <c r="A2" s="7" cm="1">
        <f t="array" ref="A2:A16">_xlfn.SEQUENCE(15)</f>
        <v>1</v>
      </c>
      <c r="B2" s="8" t="s">
        <v>16</v>
      </c>
      <c r="C2" s="9" t="s">
        <v>27</v>
      </c>
      <c r="D2" s="10"/>
      <c r="E2" s="11" t="b">
        <v>0</v>
      </c>
      <c r="F2" s="12"/>
      <c r="G2" s="13">
        <f>IF(C2&lt;&gt;"", M8, 0)</f>
        <v>32</v>
      </c>
      <c r="H2" s="13">
        <f>IF(D2&lt;&gt;"", M14, 0)</f>
        <v>0</v>
      </c>
      <c r="I2" s="13"/>
      <c r="J2" s="14">
        <f>SUM(G2:I2)</f>
        <v>32</v>
      </c>
      <c r="K2" s="2"/>
      <c r="L2" s="3"/>
      <c r="M2" s="15"/>
      <c r="N2" s="4"/>
      <c r="O2" s="5"/>
    </row>
    <row r="3" spans="1:17">
      <c r="A3" s="7">
        <v>2</v>
      </c>
      <c r="B3" s="8" t="s">
        <v>17</v>
      </c>
      <c r="C3" s="9" t="s">
        <v>27</v>
      </c>
      <c r="D3" s="9"/>
      <c r="E3" s="11" t="b">
        <v>0</v>
      </c>
      <c r="F3" s="9"/>
      <c r="G3" s="13">
        <f>IF(C3&lt;&gt;"", M8, 0)</f>
        <v>32</v>
      </c>
      <c r="H3" s="13">
        <f>IF(D3&lt;&gt;"", M14, 0)</f>
        <v>0</v>
      </c>
      <c r="I3" s="13"/>
      <c r="J3" s="14">
        <f t="shared" ref="J3:J16" si="0">SUM(G3:I3)</f>
        <v>32</v>
      </c>
      <c r="K3" s="2"/>
      <c r="L3" s="3"/>
      <c r="M3" s="15"/>
      <c r="N3" s="4"/>
      <c r="O3" s="5"/>
    </row>
    <row r="4" spans="1:17">
      <c r="A4" s="7">
        <v>3</v>
      </c>
      <c r="B4" s="8" t="s">
        <v>18</v>
      </c>
      <c r="C4" s="9" t="s">
        <v>27</v>
      </c>
      <c r="D4" s="9"/>
      <c r="E4" s="11" t="b">
        <v>0</v>
      </c>
      <c r="F4" s="9"/>
      <c r="G4" s="13">
        <f>IF(C4&lt;&gt;"", M8, 0)</f>
        <v>32</v>
      </c>
      <c r="H4" s="13">
        <f>IF(D4&lt;&gt;"", M14, 0)</f>
        <v>0</v>
      </c>
      <c r="I4" s="13">
        <v>10</v>
      </c>
      <c r="J4" s="14">
        <f t="shared" si="0"/>
        <v>42</v>
      </c>
      <c r="K4" s="16"/>
      <c r="L4" s="17"/>
      <c r="M4" s="18"/>
      <c r="N4" s="19"/>
      <c r="O4" s="5"/>
    </row>
    <row r="5" spans="1:17">
      <c r="A5" s="7">
        <v>4</v>
      </c>
      <c r="B5" s="8" t="s">
        <v>19</v>
      </c>
      <c r="C5" s="12" t="s">
        <v>27</v>
      </c>
      <c r="D5" s="9"/>
      <c r="E5" s="11" t="b">
        <v>0</v>
      </c>
      <c r="F5" s="9"/>
      <c r="G5" s="13">
        <f>IF(C5&lt;&gt;"", M8, 0)</f>
        <v>32</v>
      </c>
      <c r="H5" s="13">
        <f>IF(D5&lt;&gt;"", M14, 0)</f>
        <v>0</v>
      </c>
      <c r="I5" s="13"/>
      <c r="J5" s="14">
        <f t="shared" si="0"/>
        <v>32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 cm="1">
        <f t="array" ref="G6">IF(C6&lt;&gt;"", M, 0)</f>
        <v>0</v>
      </c>
      <c r="H6" s="13">
        <f>IF(D6&lt;&gt;"", M14, 0)</f>
        <v>0</v>
      </c>
      <c r="I6" s="13"/>
      <c r="J6" s="14">
        <f t="shared" si="0"/>
        <v>0</v>
      </c>
      <c r="K6" s="20"/>
      <c r="L6" s="24" t="s">
        <v>37</v>
      </c>
      <c r="M6" s="71">
        <f>COUNTA(C2:C16)</f>
        <v>7</v>
      </c>
      <c r="N6" s="71"/>
      <c r="O6" s="25"/>
    </row>
    <row r="7" spans="1:17" ht="15">
      <c r="A7" s="7">
        <v>6</v>
      </c>
      <c r="B7" s="8" t="s">
        <v>21</v>
      </c>
      <c r="C7" s="9" t="s">
        <v>27</v>
      </c>
      <c r="D7" s="9"/>
      <c r="E7" s="11" t="b">
        <v>0</v>
      </c>
      <c r="F7" s="40"/>
      <c r="G7" s="13">
        <f>IF(C7&lt;&gt;"", M8, 0)</f>
        <v>32</v>
      </c>
      <c r="H7" s="13">
        <f>IF(D7&lt;&gt;"", M14, 0)</f>
        <v>0</v>
      </c>
      <c r="I7" s="13"/>
      <c r="J7" s="14">
        <f t="shared" si="0"/>
        <v>32</v>
      </c>
      <c r="K7" s="20"/>
      <c r="L7" s="26" t="s">
        <v>38</v>
      </c>
      <c r="M7" s="67">
        <f>231-10</f>
        <v>221</v>
      </c>
      <c r="N7" s="67"/>
      <c r="O7" s="27"/>
    </row>
    <row r="8" spans="1:17">
      <c r="A8" s="7">
        <v>7</v>
      </c>
      <c r="B8" s="8" t="s">
        <v>22</v>
      </c>
      <c r="C8" s="9" t="s">
        <v>27</v>
      </c>
      <c r="D8" s="9"/>
      <c r="E8" s="11" t="b">
        <v>0</v>
      </c>
      <c r="F8" s="9"/>
      <c r="G8" s="13">
        <f>IF(C8&lt;&gt;"", M8, 0)</f>
        <v>32</v>
      </c>
      <c r="H8" s="13">
        <f>IF(D8&lt;&gt;"", M14, 0)</f>
        <v>0</v>
      </c>
      <c r="I8" s="13"/>
      <c r="J8" s="14">
        <f t="shared" si="0"/>
        <v>32</v>
      </c>
      <c r="K8" s="20"/>
      <c r="L8" s="26" t="s">
        <v>39</v>
      </c>
      <c r="M8" s="67">
        <f>ROUND(M7/M6,0)</f>
        <v>32</v>
      </c>
      <c r="N8" s="67"/>
      <c r="O8" s="21"/>
    </row>
    <row r="9" spans="1:17">
      <c r="A9" s="7">
        <v>8</v>
      </c>
      <c r="B9" s="8" t="s">
        <v>23</v>
      </c>
      <c r="C9" s="9" t="s">
        <v>27</v>
      </c>
      <c r="D9" s="9"/>
      <c r="E9" s="11" t="b">
        <v>0</v>
      </c>
      <c r="F9" s="9"/>
      <c r="G9" s="13">
        <f>IF(C9&lt;&gt;"", M8, 0)</f>
        <v>32</v>
      </c>
      <c r="H9" s="13">
        <f>IF(D9&lt;&gt;"", M14, 0)</f>
        <v>0</v>
      </c>
      <c r="J9" s="14">
        <f t="shared" si="0"/>
        <v>32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/>
      <c r="D10" s="9"/>
      <c r="E10" s="11" t="b">
        <v>0</v>
      </c>
      <c r="F10" s="32"/>
      <c r="G10" s="13">
        <f>IF(C10&lt;&gt;"", M8, 0)</f>
        <v>0</v>
      </c>
      <c r="H10" s="13">
        <f>IF(D10&lt;&gt;"", M14, 0)</f>
        <v>0</v>
      </c>
      <c r="I10" s="13"/>
      <c r="J10" s="14">
        <f t="shared" si="0"/>
        <v>0</v>
      </c>
      <c r="K10" s="2"/>
      <c r="L10" s="3"/>
      <c r="M10" s="15"/>
      <c r="N10" s="4"/>
      <c r="O10" s="5"/>
    </row>
    <row r="11" spans="1:17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>
        <f>IF(D11&lt;&gt;"", M14, 0)</f>
        <v>0</v>
      </c>
      <c r="I11" s="13"/>
      <c r="J11" s="14">
        <f t="shared" si="0"/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IF(C6&lt;&gt;"", M8, 0)</f>
        <v>0</v>
      </c>
      <c r="H12" s="13">
        <f>IF(D12&lt;&gt;"", M14, 0)</f>
        <v>0</v>
      </c>
      <c r="I12" s="13"/>
      <c r="J12" s="14">
        <f t="shared" si="0"/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 t="shared" si="0"/>
        <v>0</v>
      </c>
      <c r="K13" s="20"/>
      <c r="L13" s="26" t="s">
        <v>38</v>
      </c>
      <c r="M13" s="67"/>
      <c r="N13" s="67"/>
      <c r="O13" s="34"/>
    </row>
    <row r="14" spans="1:17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 t="shared" si="0"/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 t="shared" si="0"/>
        <v>0</v>
      </c>
      <c r="K15" s="2"/>
      <c r="L15" s="3"/>
      <c r="M15" s="15"/>
      <c r="N15" s="4"/>
      <c r="O15" s="5"/>
    </row>
    <row r="16" spans="1:17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 t="shared" si="0"/>
        <v>0</v>
      </c>
      <c r="K16" s="2"/>
      <c r="L16" s="3"/>
      <c r="M16" s="15"/>
      <c r="N16" s="4"/>
      <c r="O16" s="5"/>
    </row>
    <row r="17" spans="1:15" ht="30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>
      <c r="A18" s="20"/>
      <c r="B18" s="20"/>
      <c r="C18" s="20"/>
      <c r="D18" s="20"/>
      <c r="E18" s="20"/>
      <c r="F18" s="20"/>
      <c r="G18" s="20">
        <f>SUM(G2:G16)</f>
        <v>224</v>
      </c>
      <c r="H18" s="20"/>
      <c r="I18" s="20"/>
      <c r="J18" s="35">
        <f>SUM(J2:J16)</f>
        <v>234</v>
      </c>
      <c r="K18" s="35"/>
      <c r="L18" s="35"/>
    </row>
    <row r="19" spans="1:15">
      <c r="A19" s="20"/>
      <c r="B19" s="20"/>
      <c r="C19" s="20"/>
      <c r="D19" s="20"/>
      <c r="E19" s="20">
        <f>COUNTIF(E2:E16,TRUE)</f>
        <v>0</v>
      </c>
      <c r="F19" s="20"/>
      <c r="G19" s="37"/>
      <c r="H19" s="20"/>
      <c r="I19" s="20"/>
      <c r="J19" s="35"/>
      <c r="K19" s="35"/>
      <c r="L19" s="35" t="s">
        <v>17</v>
      </c>
    </row>
    <row r="20" spans="1: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 t="s">
        <v>18</v>
      </c>
      <c r="M21">
        <v>231</v>
      </c>
    </row>
    <row r="22" spans="1: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231</v>
      </c>
      <c r="M23" s="35"/>
      <c r="N23" s="35"/>
    </row>
    <row r="24" spans="1: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7" priority="1">
      <formula>LEN(TRIM(C2))&gt;0</formula>
    </cfRule>
    <cfRule type="containsBlanks" dxfId="6" priority="2">
      <formula>LEN(TRIM(C2))=0</formula>
    </cfRule>
  </conditionalFormatting>
  <hyperlinks>
    <hyperlink ref="G1" r:id="rId1" xr:uid="{DD6E003A-1560-4229-843D-8CA6D6416A4F}"/>
    <hyperlink ref="H1" r:id="rId2" xr:uid="{9899DE19-3426-4597-9E92-68046DD1024B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1A2E-428C-492B-8B51-A5017047DAA1}">
  <dimension ref="A1:Q24"/>
  <sheetViews>
    <sheetView topLeftCell="C1" workbookViewId="0">
      <selection activeCell="A18" sqref="A18"/>
    </sheetView>
  </sheetViews>
  <sheetFormatPr defaultRowHeight="13.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39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>
      <c r="A2" s="7" cm="1">
        <f t="array" ref="A2:A16">_xlfn.SEQUENCE(15)</f>
        <v>1</v>
      </c>
      <c r="B2" s="8" t="s">
        <v>16</v>
      </c>
      <c r="C2" s="9" t="s">
        <v>223</v>
      </c>
      <c r="D2" s="10"/>
      <c r="E2" s="11" t="b">
        <v>0</v>
      </c>
      <c r="F2" s="12"/>
      <c r="G2" s="13">
        <f>IF(C2&lt;&gt;"", M8, 0)</f>
        <v>26</v>
      </c>
      <c r="H2" s="13">
        <f>IF(D2&lt;&gt;"", M14, 0)</f>
        <v>0</v>
      </c>
      <c r="I2" s="13"/>
      <c r="J2" s="14">
        <f>SUM(G2:I2)</f>
        <v>26</v>
      </c>
      <c r="K2" s="2"/>
      <c r="L2" s="3"/>
      <c r="M2" s="15"/>
      <c r="N2" s="4"/>
      <c r="O2" s="5"/>
    </row>
    <row r="3" spans="1:17">
      <c r="A3" s="7">
        <v>2</v>
      </c>
      <c r="B3" s="8" t="s">
        <v>17</v>
      </c>
      <c r="C3" s="9" t="s">
        <v>224</v>
      </c>
      <c r="D3" s="9"/>
      <c r="E3" s="11" t="b">
        <v>0</v>
      </c>
      <c r="F3" s="9"/>
      <c r="G3" s="13">
        <f>IF(C3&lt;&gt;"", M8, 0)</f>
        <v>26</v>
      </c>
      <c r="H3" s="13">
        <f>IF(D3&lt;&gt;"", M14, 0)</f>
        <v>0</v>
      </c>
      <c r="I3" s="13"/>
      <c r="J3" s="14">
        <f t="shared" ref="J3:J16" si="0">SUM(G3:I3)</f>
        <v>26</v>
      </c>
      <c r="K3" s="2"/>
      <c r="L3" s="3"/>
      <c r="M3" s="15"/>
      <c r="N3" s="4"/>
      <c r="O3" s="5"/>
    </row>
    <row r="4" spans="1:17">
      <c r="A4" s="7">
        <v>3</v>
      </c>
      <c r="B4" s="8" t="s">
        <v>18</v>
      </c>
      <c r="C4" s="9" t="s">
        <v>225</v>
      </c>
      <c r="D4" s="9"/>
      <c r="E4" s="11" t="b">
        <v>0</v>
      </c>
      <c r="F4" s="9" t="s">
        <v>226</v>
      </c>
      <c r="G4" s="13">
        <f>IF(C4&lt;&gt;"", M8, 0)</f>
        <v>26</v>
      </c>
      <c r="H4" s="13">
        <f>IF(D4&lt;&gt;"", M14, 0)</f>
        <v>0</v>
      </c>
      <c r="I4" s="13"/>
      <c r="J4" s="14">
        <f t="shared" si="0"/>
        <v>26</v>
      </c>
      <c r="K4" s="16"/>
      <c r="L4" s="17"/>
      <c r="M4" s="18"/>
      <c r="N4" s="19"/>
      <c r="O4" s="5"/>
    </row>
    <row r="5" spans="1:17">
      <c r="A5" s="7">
        <v>4</v>
      </c>
      <c r="B5" s="8" t="s">
        <v>19</v>
      </c>
      <c r="C5" s="12" t="s">
        <v>218</v>
      </c>
      <c r="D5" s="9"/>
      <c r="E5" s="11" t="b">
        <v>0</v>
      </c>
      <c r="F5" s="9"/>
      <c r="G5" s="13">
        <f>IF(C5&lt;&gt;"", M8, 0)</f>
        <v>26</v>
      </c>
      <c r="H5" s="13">
        <f>IF(D5&lt;&gt;"", M14, 0)</f>
        <v>0</v>
      </c>
      <c r="I5" s="13"/>
      <c r="J5" s="14">
        <f t="shared" si="0"/>
        <v>26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 t="s">
        <v>224</v>
      </c>
      <c r="D6" s="9"/>
      <c r="E6" s="11" t="b">
        <v>1</v>
      </c>
      <c r="F6" s="23"/>
      <c r="G6" s="13">
        <f>IF(C6&lt;&gt;"", M8, 0)</f>
        <v>26</v>
      </c>
      <c r="H6" s="13">
        <f>IF(D6&lt;&gt;"", M14, 0)</f>
        <v>0</v>
      </c>
      <c r="I6" s="13"/>
      <c r="J6" s="14">
        <f t="shared" si="0"/>
        <v>26</v>
      </c>
      <c r="K6" s="20"/>
      <c r="L6" s="24" t="s">
        <v>37</v>
      </c>
      <c r="M6" s="71">
        <f>COUNTA(C2:C16)</f>
        <v>9</v>
      </c>
      <c r="N6" s="71"/>
      <c r="O6" s="25"/>
    </row>
    <row r="7" spans="1:17" ht="15">
      <c r="A7" s="7">
        <v>6</v>
      </c>
      <c r="B7" s="8" t="s">
        <v>21</v>
      </c>
      <c r="C7" s="9" t="s">
        <v>227</v>
      </c>
      <c r="D7" s="9"/>
      <c r="E7" s="11" t="b">
        <v>1</v>
      </c>
      <c r="F7" s="40"/>
      <c r="G7" s="13">
        <f>IF(C7&lt;&gt;"", M8, 0)</f>
        <v>26</v>
      </c>
      <c r="H7" s="13">
        <f>IF(D7&lt;&gt;"", M14, 0)</f>
        <v>0</v>
      </c>
      <c r="I7" s="13"/>
      <c r="J7" s="14">
        <f t="shared" si="0"/>
        <v>26</v>
      </c>
      <c r="K7" s="20"/>
      <c r="L7" s="26" t="s">
        <v>38</v>
      </c>
      <c r="M7" s="67">
        <v>232</v>
      </c>
      <c r="N7" s="67"/>
      <c r="O7" s="27"/>
    </row>
    <row r="8" spans="1:17">
      <c r="A8" s="7">
        <v>7</v>
      </c>
      <c r="B8" s="8" t="s">
        <v>22</v>
      </c>
      <c r="C8" s="9" t="s">
        <v>228</v>
      </c>
      <c r="D8" s="9"/>
      <c r="E8" s="11" t="b">
        <v>1</v>
      </c>
      <c r="F8" s="9"/>
      <c r="G8" s="13">
        <f>IF(C8&lt;&gt;"", M8, 0)</f>
        <v>26</v>
      </c>
      <c r="H8" s="13">
        <f>IF(D8&lt;&gt;"", M14, 0)</f>
        <v>0</v>
      </c>
      <c r="I8" s="13"/>
      <c r="J8" s="14">
        <f t="shared" si="0"/>
        <v>26</v>
      </c>
      <c r="K8" s="20"/>
      <c r="L8" s="26" t="s">
        <v>39</v>
      </c>
      <c r="M8" s="67">
        <f>ROUND(M7/M6,0)</f>
        <v>26</v>
      </c>
      <c r="N8" s="67"/>
      <c r="O8" s="21"/>
    </row>
    <row r="9" spans="1:17">
      <c r="A9" s="7">
        <v>8</v>
      </c>
      <c r="B9" s="8" t="s">
        <v>23</v>
      </c>
      <c r="C9" s="9" t="s">
        <v>229</v>
      </c>
      <c r="D9" s="9"/>
      <c r="E9" s="11" t="b">
        <v>1</v>
      </c>
      <c r="F9" s="9"/>
      <c r="G9" s="13">
        <f>IF(C9&lt;&gt;"", M8, 0)</f>
        <v>26</v>
      </c>
      <c r="H9" s="13">
        <f>IF(D9&lt;&gt;"", M14, 0)</f>
        <v>0</v>
      </c>
      <c r="J9" s="14">
        <f t="shared" si="0"/>
        <v>26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230</v>
      </c>
      <c r="D10" s="9"/>
      <c r="E10" s="11" t="b">
        <v>0</v>
      </c>
      <c r="F10" s="32"/>
      <c r="G10" s="13">
        <f>IF(C10&lt;&gt;"", M8, 0)</f>
        <v>26</v>
      </c>
      <c r="H10" s="13">
        <f>IF(D10&lt;&gt;"", M14, 0)</f>
        <v>0</v>
      </c>
      <c r="I10" s="13"/>
      <c r="J10" s="14">
        <f t="shared" si="0"/>
        <v>26</v>
      </c>
      <c r="K10" s="2"/>
      <c r="L10" s="3"/>
      <c r="M10" s="15"/>
      <c r="N10" s="4"/>
      <c r="O10" s="5"/>
    </row>
    <row r="11" spans="1:17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>
        <f>IF(D11&lt;&gt;"", M14, 0)</f>
        <v>0</v>
      </c>
      <c r="I11" s="13"/>
      <c r="J11" s="14">
        <f t="shared" si="0"/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IF(C12&lt;&gt;"", M8, 0)</f>
        <v>0</v>
      </c>
      <c r="H12" s="13">
        <f>IF(D12&lt;&gt;"", M14, 0)</f>
        <v>0</v>
      </c>
      <c r="I12" s="13"/>
      <c r="J12" s="14">
        <f t="shared" si="0"/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 t="shared" si="0"/>
        <v>0</v>
      </c>
      <c r="K13" s="20"/>
      <c r="L13" s="26" t="s">
        <v>38</v>
      </c>
      <c r="M13" s="67"/>
      <c r="N13" s="67"/>
      <c r="O13" s="34"/>
    </row>
    <row r="14" spans="1:17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 t="shared" si="0"/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 t="shared" si="0"/>
        <v>0</v>
      </c>
      <c r="K15" s="2"/>
      <c r="L15" s="3"/>
      <c r="M15" s="15"/>
      <c r="N15" s="4"/>
      <c r="O15" s="5"/>
    </row>
    <row r="16" spans="1:17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 t="shared" si="0"/>
        <v>0</v>
      </c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>
      <c r="A18" s="20"/>
      <c r="B18" s="20"/>
      <c r="C18" s="20"/>
      <c r="D18" s="20"/>
      <c r="E18" s="20"/>
      <c r="F18" s="20"/>
      <c r="G18" s="20">
        <f>SUM(G2:G16)</f>
        <v>234</v>
      </c>
      <c r="H18" s="20"/>
      <c r="I18" s="20"/>
      <c r="J18" s="35">
        <f>SUM(J2:J16)</f>
        <v>234</v>
      </c>
      <c r="K18" s="35"/>
      <c r="L18" s="35"/>
    </row>
    <row r="19" spans="1:15">
      <c r="A19" s="20"/>
      <c r="B19" s="20"/>
      <c r="C19" s="20"/>
      <c r="D19" s="20"/>
      <c r="E19" s="20">
        <f>COUNTIF(E2:E16,TRUE)</f>
        <v>4</v>
      </c>
      <c r="F19" s="20"/>
      <c r="G19" s="37"/>
      <c r="H19" s="20"/>
      <c r="I19" s="20"/>
      <c r="J19" s="35"/>
      <c r="K19" s="35"/>
      <c r="L19" s="35" t="s">
        <v>17</v>
      </c>
      <c r="M19">
        <v>232</v>
      </c>
    </row>
    <row r="20" spans="1: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/>
    </row>
    <row r="22" spans="1:15">
      <c r="A22" s="20"/>
      <c r="B22" s="46"/>
      <c r="C22" s="47"/>
      <c r="D22" s="20"/>
      <c r="E22" s="20"/>
      <c r="F22" s="20"/>
      <c r="G22" s="20"/>
      <c r="H22" s="20"/>
      <c r="I22" s="20"/>
      <c r="J22" s="35"/>
      <c r="K22" s="35"/>
      <c r="L22" s="35"/>
    </row>
    <row r="23" spans="1: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5" priority="1">
      <formula>LEN(TRIM(C2))&gt;0</formula>
    </cfRule>
    <cfRule type="containsBlanks" dxfId="4" priority="2">
      <formula>LEN(TRIM(C2))=0</formula>
    </cfRule>
  </conditionalFormatting>
  <hyperlinks>
    <hyperlink ref="G1" r:id="rId1" xr:uid="{D0D417B6-B7C1-4D62-8467-947E91FFC841}"/>
    <hyperlink ref="H1" r:id="rId2" xr:uid="{55B77713-5DBD-4914-A642-414181F62C22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00C6-739C-410B-9D43-E311788990F3}">
  <dimension ref="A1:Q24"/>
  <sheetViews>
    <sheetView topLeftCell="B1" workbookViewId="0">
      <selection activeCell="G6" sqref="G6"/>
    </sheetView>
  </sheetViews>
  <sheetFormatPr defaultRowHeight="13.5"/>
  <cols>
    <col min="1" max="1" width="4.125" bestFit="1" customWidth="1"/>
    <col min="2" max="2" width="29.87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39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>
      <c r="A2" s="7" cm="1">
        <f t="array" ref="A2:A16">_xlfn.SEQUENCE(15)</f>
        <v>1</v>
      </c>
      <c r="B2" s="8" t="s">
        <v>16</v>
      </c>
      <c r="C2" s="9" t="s">
        <v>213</v>
      </c>
      <c r="D2" s="10"/>
      <c r="E2" s="11" t="b">
        <v>1</v>
      </c>
      <c r="F2" s="12"/>
      <c r="G2" s="13">
        <f>IF(C2&lt;&gt;"", M8, 0)</f>
        <v>25</v>
      </c>
      <c r="H2" s="13">
        <f>IF(D2&lt;&gt;"", M14, 0)</f>
        <v>0</v>
      </c>
      <c r="I2" s="13"/>
      <c r="J2" s="14">
        <f>SUM(G2:I2)</f>
        <v>25</v>
      </c>
      <c r="K2" s="2"/>
      <c r="L2" s="3"/>
      <c r="M2" s="15"/>
      <c r="N2" s="4"/>
      <c r="O2" s="5"/>
      <c r="Q2">
        <f>207-8</f>
        <v>199</v>
      </c>
    </row>
    <row r="3" spans="1:17">
      <c r="A3" s="7">
        <v>2</v>
      </c>
      <c r="B3" s="8" t="s">
        <v>17</v>
      </c>
      <c r="C3" s="9" t="s">
        <v>213</v>
      </c>
      <c r="D3" s="9"/>
      <c r="E3" s="11" t="b">
        <v>1</v>
      </c>
      <c r="F3" s="9"/>
      <c r="G3" s="13">
        <f>IF(C3&lt;&gt;"", M8, 0)</f>
        <v>25</v>
      </c>
      <c r="H3" s="13">
        <f>IF(D3&lt;&gt;"", M14, 0)</f>
        <v>0</v>
      </c>
      <c r="I3" s="13"/>
      <c r="J3" s="14">
        <f t="shared" ref="J3:J16" si="0">SUM(G3:I3)</f>
        <v>25</v>
      </c>
      <c r="K3" s="2"/>
      <c r="L3" s="3"/>
      <c r="M3" s="15"/>
      <c r="N3" s="4"/>
      <c r="O3" s="5"/>
      <c r="Q3">
        <f>Q2/8</f>
        <v>24.875</v>
      </c>
    </row>
    <row r="4" spans="1:17">
      <c r="A4" s="7">
        <v>3</v>
      </c>
      <c r="B4" s="8" t="s">
        <v>18</v>
      </c>
      <c r="C4" s="9" t="s">
        <v>231</v>
      </c>
      <c r="D4" s="9"/>
      <c r="E4" s="11" t="b">
        <v>1</v>
      </c>
      <c r="F4" s="9" t="s">
        <v>232</v>
      </c>
      <c r="G4" s="13">
        <f>IF(C4&lt;&gt;"", M8, 0)</f>
        <v>25</v>
      </c>
      <c r="H4" s="13">
        <f>IF(D4&lt;&gt;"", M14, 0)</f>
        <v>0</v>
      </c>
      <c r="I4" s="13">
        <v>25</v>
      </c>
      <c r="J4" s="14">
        <f t="shared" si="0"/>
        <v>50</v>
      </c>
      <c r="K4" s="16"/>
      <c r="L4" s="17"/>
      <c r="M4" s="18"/>
      <c r="N4" s="19"/>
      <c r="O4" s="5"/>
    </row>
    <row r="5" spans="1:17">
      <c r="A5" s="7">
        <v>4</v>
      </c>
      <c r="B5" s="8" t="s">
        <v>19</v>
      </c>
      <c r="C5" s="12" t="s">
        <v>57</v>
      </c>
      <c r="D5" s="9"/>
      <c r="E5" s="11" t="b">
        <v>1</v>
      </c>
      <c r="F5" s="9"/>
      <c r="G5" s="13">
        <f>IF(C5&lt;&gt;"", M8, 0)</f>
        <v>25</v>
      </c>
      <c r="H5" s="13">
        <f>IF(D5&lt;&gt;"", M14, 0)</f>
        <v>0</v>
      </c>
      <c r="I5" s="13"/>
      <c r="J5" s="14">
        <f t="shared" si="0"/>
        <v>25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/>
      <c r="D6" s="9"/>
      <c r="E6" s="11" t="b">
        <v>0</v>
      </c>
      <c r="F6" s="23"/>
      <c r="G6" s="13">
        <f>IF(C6&lt;&gt;"", M8, 0)</f>
        <v>0</v>
      </c>
      <c r="H6" s="13">
        <f>IF(D6&lt;&gt;"", M14, 0)</f>
        <v>0</v>
      </c>
      <c r="I6" s="13"/>
      <c r="J6" s="14">
        <f t="shared" si="0"/>
        <v>0</v>
      </c>
      <c r="K6" s="20"/>
      <c r="L6" s="24" t="s">
        <v>37</v>
      </c>
      <c r="M6" s="71">
        <f>COUNTA(C2:C16)</f>
        <v>7</v>
      </c>
      <c r="N6" s="71"/>
      <c r="O6" s="25"/>
    </row>
    <row r="7" spans="1:17" ht="15">
      <c r="A7" s="7">
        <v>6</v>
      </c>
      <c r="B7" s="8" t="s">
        <v>21</v>
      </c>
      <c r="C7" s="9"/>
      <c r="D7" s="9"/>
      <c r="E7" s="11" t="b">
        <v>0</v>
      </c>
      <c r="F7" s="40"/>
      <c r="G7" s="13">
        <f>IF(C7&lt;&gt;"", M8, 0)</f>
        <v>0</v>
      </c>
      <c r="H7" s="13">
        <f>IF(D7&lt;&gt;"", M14, 0)</f>
        <v>0</v>
      </c>
      <c r="I7" s="13"/>
      <c r="J7" s="14">
        <f t="shared" si="0"/>
        <v>0</v>
      </c>
      <c r="K7" s="20"/>
      <c r="L7" s="26" t="s">
        <v>38</v>
      </c>
      <c r="M7" s="67">
        <f>207-26-8</f>
        <v>173</v>
      </c>
      <c r="N7" s="67"/>
      <c r="O7" s="27"/>
    </row>
    <row r="8" spans="1:17">
      <c r="A8" s="7">
        <v>7</v>
      </c>
      <c r="B8" s="8" t="s">
        <v>22</v>
      </c>
      <c r="C8" s="9" t="s">
        <v>233</v>
      </c>
      <c r="D8" s="9"/>
      <c r="E8" s="11" t="b">
        <v>1</v>
      </c>
      <c r="F8" s="9"/>
      <c r="G8" s="13">
        <f>IF(C8&lt;&gt;"", M8, 0)</f>
        <v>25</v>
      </c>
      <c r="H8" s="13">
        <f>IF(D8&lt;&gt;"", M14, 0)</f>
        <v>0</v>
      </c>
      <c r="I8" s="13"/>
      <c r="J8" s="14">
        <f t="shared" si="0"/>
        <v>25</v>
      </c>
      <c r="K8" s="20"/>
      <c r="L8" s="26" t="s">
        <v>39</v>
      </c>
      <c r="M8" s="67">
        <f>ROUND(M7/M6,0)</f>
        <v>25</v>
      </c>
      <c r="N8" s="67"/>
      <c r="O8" s="21"/>
    </row>
    <row r="9" spans="1:17">
      <c r="A9" s="7">
        <v>8</v>
      </c>
      <c r="B9" s="8" t="s">
        <v>23</v>
      </c>
      <c r="C9" s="9" t="s">
        <v>3</v>
      </c>
      <c r="D9" s="9"/>
      <c r="E9" s="11" t="b">
        <v>1</v>
      </c>
      <c r="F9" s="9"/>
      <c r="G9" s="13">
        <f>IF(C9&lt;&gt;"", M8, 0)</f>
        <v>25</v>
      </c>
      <c r="H9" s="13">
        <f>IF(D9&lt;&gt;"", M14, 0)</f>
        <v>0</v>
      </c>
      <c r="J9" s="14">
        <f t="shared" si="0"/>
        <v>25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234</v>
      </c>
      <c r="D10" s="9"/>
      <c r="E10" s="11" t="b">
        <v>1</v>
      </c>
      <c r="F10" s="32" t="s">
        <v>235</v>
      </c>
      <c r="G10" s="13">
        <f>IF(C10&lt;&gt;"", M8, 0)</f>
        <v>25</v>
      </c>
      <c r="H10" s="13">
        <f>IF(D10&lt;&gt;"", M14, 0)</f>
        <v>0</v>
      </c>
      <c r="I10" s="13">
        <v>8</v>
      </c>
      <c r="J10" s="14">
        <f t="shared" si="0"/>
        <v>33</v>
      </c>
      <c r="K10" s="2"/>
      <c r="L10" s="3"/>
      <c r="M10" s="15"/>
      <c r="N10" s="4"/>
      <c r="O10" s="5"/>
    </row>
    <row r="11" spans="1:17">
      <c r="A11" s="7">
        <v>10</v>
      </c>
      <c r="B11" s="13" t="s">
        <v>25</v>
      </c>
      <c r="C11" s="9"/>
      <c r="D11" s="9"/>
      <c r="E11" s="11" t="b">
        <v>0</v>
      </c>
      <c r="F11" s="9"/>
      <c r="G11" s="13">
        <f>IF(C11&lt;&gt;"", M8, 0)</f>
        <v>0</v>
      </c>
      <c r="H11" s="13">
        <f>IF(D11&lt;&gt;"", M14, 0)</f>
        <v>0</v>
      </c>
      <c r="I11" s="13"/>
      <c r="J11" s="14">
        <f t="shared" si="0"/>
        <v>0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IF(C12&lt;&gt;"", M8, 0)</f>
        <v>0</v>
      </c>
      <c r="H12" s="13">
        <f>IF(D12&lt;&gt;"", M14, 0)</f>
        <v>0</v>
      </c>
      <c r="I12" s="13"/>
      <c r="J12" s="14">
        <f t="shared" si="0"/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 t="shared" si="0"/>
        <v>0</v>
      </c>
      <c r="K13" s="20"/>
      <c r="L13" s="26" t="s">
        <v>38</v>
      </c>
      <c r="M13" s="67"/>
      <c r="N13" s="67"/>
      <c r="O13" s="34"/>
    </row>
    <row r="14" spans="1:17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 t="shared" si="0"/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 t="shared" si="0"/>
        <v>0</v>
      </c>
      <c r="K15" s="2"/>
      <c r="L15" s="3"/>
      <c r="M15" s="15"/>
      <c r="N15" s="4"/>
      <c r="O15" s="5"/>
    </row>
    <row r="16" spans="1:17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 t="shared" si="0"/>
        <v>0</v>
      </c>
      <c r="K16" s="2"/>
      <c r="L16" s="3"/>
      <c r="M16" s="15"/>
      <c r="N16" s="4"/>
      <c r="O16" s="5"/>
    </row>
    <row r="17" spans="1:15" ht="30">
      <c r="A17" s="68" t="s">
        <v>62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>
      <c r="A18" s="20"/>
      <c r="B18" s="20"/>
      <c r="C18" s="20"/>
      <c r="D18" s="20"/>
      <c r="E18" s="20"/>
      <c r="F18" s="20"/>
      <c r="G18" s="20">
        <f>SUM(G2:G16)</f>
        <v>175</v>
      </c>
      <c r="H18" s="20"/>
      <c r="I18" s="20"/>
      <c r="J18" s="35">
        <f>SUM(J2:J16)</f>
        <v>208</v>
      </c>
      <c r="K18" s="35"/>
      <c r="L18" s="35"/>
    </row>
    <row r="19" spans="1:15">
      <c r="A19" s="20"/>
      <c r="B19" s="20"/>
      <c r="C19" s="20"/>
      <c r="D19" s="20"/>
      <c r="E19" s="20">
        <f>COUNTIF(E2:E16,TRUE)</f>
        <v>7</v>
      </c>
      <c r="F19" s="20"/>
      <c r="G19" s="37"/>
      <c r="H19" s="20"/>
      <c r="I19" s="20"/>
      <c r="J19" s="35"/>
      <c r="K19" s="35"/>
      <c r="L19" s="35" t="s">
        <v>17</v>
      </c>
      <c r="M19">
        <v>207</v>
      </c>
    </row>
    <row r="20" spans="1: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/>
    </row>
    <row r="22" spans="1:15" ht="39">
      <c r="A22" s="20"/>
      <c r="B22" s="46" t="s">
        <v>236</v>
      </c>
      <c r="C22" s="47" t="s">
        <v>237</v>
      </c>
      <c r="D22" s="20"/>
      <c r="E22" s="20"/>
      <c r="F22" s="20"/>
      <c r="G22" s="20"/>
      <c r="H22" s="20"/>
      <c r="I22" s="20"/>
      <c r="J22" s="35"/>
      <c r="K22" s="35"/>
      <c r="L22" s="35"/>
    </row>
    <row r="23" spans="1: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3" priority="1">
      <formula>LEN(TRIM(C2))&gt;0</formula>
    </cfRule>
    <cfRule type="containsBlanks" dxfId="2" priority="2">
      <formula>LEN(TRIM(C2))=0</formula>
    </cfRule>
  </conditionalFormatting>
  <hyperlinks>
    <hyperlink ref="G1" r:id="rId1" xr:uid="{58690721-A7C0-496A-A4FF-80EA09D265D3}"/>
    <hyperlink ref="H1" r:id="rId2" xr:uid="{6C571935-1B36-4B97-B072-1375DCE416B2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5950-E996-47CF-AFD0-D0D49ABFB59C}">
  <dimension ref="A1:Q24"/>
  <sheetViews>
    <sheetView workbookViewId="0">
      <selection activeCell="G6" sqref="G6"/>
    </sheetView>
  </sheetViews>
  <sheetFormatPr defaultRowHeight="13.5"/>
  <cols>
    <col min="1" max="1" width="4.125" bestFit="1" customWidth="1"/>
    <col min="2" max="2" width="29.5" customWidth="1"/>
    <col min="3" max="3" width="39.125" customWidth="1"/>
    <col min="4" max="4" width="12.75" hidden="1" customWidth="1"/>
    <col min="5" max="5" width="8" bestFit="1" customWidth="1"/>
    <col min="6" max="6" width="70.375" customWidth="1"/>
    <col min="7" max="7" width="10.875" bestFit="1" customWidth="1"/>
    <col min="8" max="8" width="16.375" hidden="1" customWidth="1"/>
    <col min="9" max="9" width="10" bestFit="1" customWidth="1"/>
    <col min="10" max="10" width="5.125" bestFit="1" customWidth="1"/>
    <col min="11" max="11" width="9.25" bestFit="1" customWidth="1"/>
    <col min="12" max="12" width="11.375" bestFit="1" customWidth="1"/>
    <col min="13" max="13" width="4.375" bestFit="1" customWidth="1"/>
  </cols>
  <sheetData>
    <row r="1" spans="1:17" ht="21" customHeight="1">
      <c r="A1" s="38" t="s">
        <v>28</v>
      </c>
      <c r="B1" s="38" t="s">
        <v>12</v>
      </c>
      <c r="C1" s="38" t="s">
        <v>29</v>
      </c>
      <c r="D1" s="38" t="s">
        <v>30</v>
      </c>
      <c r="E1" s="38"/>
      <c r="F1" s="38" t="s">
        <v>31</v>
      </c>
      <c r="G1" s="39" t="s">
        <v>150</v>
      </c>
      <c r="H1" s="56" t="s">
        <v>33</v>
      </c>
      <c r="I1" s="57" t="s">
        <v>34</v>
      </c>
      <c r="J1" s="1" t="s">
        <v>35</v>
      </c>
      <c r="K1" s="2"/>
      <c r="L1" s="3"/>
      <c r="M1" s="4"/>
      <c r="N1" s="4"/>
      <c r="O1" s="5"/>
      <c r="Q1" s="6"/>
    </row>
    <row r="2" spans="1:17">
      <c r="A2" s="7" cm="1">
        <f t="array" ref="A2:A16">_xlfn.SEQUENCE(15)</f>
        <v>1</v>
      </c>
      <c r="B2" s="8" t="s">
        <v>16</v>
      </c>
      <c r="C2" s="9" t="s">
        <v>238</v>
      </c>
      <c r="D2" s="10"/>
      <c r="E2" s="11" t="b">
        <v>1</v>
      </c>
      <c r="F2" s="12"/>
      <c r="G2" s="13">
        <f>IF(C2&lt;&gt;"", M8, 0)</f>
        <v>26</v>
      </c>
      <c r="H2" s="13">
        <f>IF(D2&lt;&gt;"", M14, 0)</f>
        <v>0</v>
      </c>
      <c r="I2" s="13"/>
      <c r="J2" s="14">
        <f>SUM(G2:H2)</f>
        <v>26</v>
      </c>
      <c r="K2" s="2"/>
      <c r="L2" s="3"/>
      <c r="M2" s="15"/>
      <c r="N2" s="4"/>
      <c r="O2" s="5"/>
    </row>
    <row r="3" spans="1:17">
      <c r="A3" s="7">
        <v>2</v>
      </c>
      <c r="B3" s="8" t="s">
        <v>17</v>
      </c>
      <c r="C3" s="9" t="s">
        <v>229</v>
      </c>
      <c r="D3" s="9"/>
      <c r="E3" s="11" t="b">
        <v>1</v>
      </c>
      <c r="F3" s="9"/>
      <c r="G3" s="13">
        <f>IF(C3&lt;&gt;"", M8, 0)</f>
        <v>26</v>
      </c>
      <c r="H3" s="13">
        <f>IF(D3&lt;&gt;"", M14, 0)</f>
        <v>0</v>
      </c>
      <c r="I3" s="13"/>
      <c r="J3" s="14">
        <f>SUM(G3:H3)</f>
        <v>26</v>
      </c>
      <c r="K3" s="2"/>
      <c r="L3" s="3"/>
      <c r="M3" s="15"/>
      <c r="N3" s="4"/>
      <c r="O3" s="5"/>
    </row>
    <row r="4" spans="1:17">
      <c r="A4" s="7">
        <v>3</v>
      </c>
      <c r="B4" s="8" t="s">
        <v>18</v>
      </c>
      <c r="C4" s="9" t="s">
        <v>213</v>
      </c>
      <c r="D4" s="9"/>
      <c r="E4" s="11" t="b">
        <v>1</v>
      </c>
      <c r="F4" s="9"/>
      <c r="G4" s="13">
        <f>IF(C4&lt;&gt;"", M8, 0)</f>
        <v>26</v>
      </c>
      <c r="H4" s="13">
        <f>IF(D4&lt;&gt;"", M14, 0)</f>
        <v>0</v>
      </c>
      <c r="I4" s="13"/>
      <c r="J4" s="14">
        <f>SUM(G4:H4)</f>
        <v>26</v>
      </c>
      <c r="K4" s="16"/>
      <c r="L4" s="17"/>
      <c r="M4" s="18"/>
      <c r="N4" s="19"/>
      <c r="O4" s="5"/>
    </row>
    <row r="5" spans="1:17">
      <c r="A5" s="7">
        <v>4</v>
      </c>
      <c r="B5" s="8" t="s">
        <v>19</v>
      </c>
      <c r="C5" s="12" t="s">
        <v>218</v>
      </c>
      <c r="D5" s="9"/>
      <c r="E5" s="11" t="b">
        <v>1</v>
      </c>
      <c r="F5" s="9"/>
      <c r="G5" s="13">
        <f>IF(C5&lt;&gt;"", M8, 0)</f>
        <v>26</v>
      </c>
      <c r="H5" s="13">
        <f>IF(D5&lt;&gt;"", M14, 0)</f>
        <v>0</v>
      </c>
      <c r="I5" s="13"/>
      <c r="J5" s="14">
        <f>SUM(G5:H5)</f>
        <v>26</v>
      </c>
      <c r="K5" s="20"/>
      <c r="L5" s="70" t="s">
        <v>36</v>
      </c>
      <c r="M5" s="70"/>
      <c r="N5" s="70"/>
      <c r="O5" s="21"/>
    </row>
    <row r="6" spans="1:17" ht="15">
      <c r="A6" s="7">
        <v>5</v>
      </c>
      <c r="B6" s="22" t="s">
        <v>20</v>
      </c>
      <c r="C6" s="9" t="s">
        <v>213</v>
      </c>
      <c r="D6" s="9"/>
      <c r="E6" s="11" t="b">
        <v>1</v>
      </c>
      <c r="F6" s="23" t="s">
        <v>239</v>
      </c>
      <c r="G6" s="13">
        <f>IF(C6&lt;&gt;"", M8, 0)</f>
        <v>26</v>
      </c>
      <c r="H6" s="13">
        <f>IF(D6&lt;&gt;"", M14, 0)</f>
        <v>0</v>
      </c>
      <c r="I6" s="13">
        <v>10</v>
      </c>
      <c r="J6" s="14">
        <f>SUM(G6:I6)</f>
        <v>36</v>
      </c>
      <c r="K6" s="20"/>
      <c r="L6" s="24" t="s">
        <v>37</v>
      </c>
      <c r="M6" s="71">
        <f>COUNTA(C2:C16)</f>
        <v>10</v>
      </c>
      <c r="N6" s="71"/>
      <c r="O6" s="25"/>
    </row>
    <row r="7" spans="1:17" ht="15">
      <c r="A7" s="7">
        <v>6</v>
      </c>
      <c r="B7" s="8" t="s">
        <v>21</v>
      </c>
      <c r="C7" s="9" t="s">
        <v>240</v>
      </c>
      <c r="D7" s="9"/>
      <c r="E7" s="11" t="b">
        <v>1</v>
      </c>
      <c r="F7" s="40" t="s">
        <v>241</v>
      </c>
      <c r="G7" s="13">
        <f>IF(C7&lt;&gt;"", M8, 0)</f>
        <v>26</v>
      </c>
      <c r="H7" s="13">
        <f>IF(D7&lt;&gt;"", M14, 0)</f>
        <v>0</v>
      </c>
      <c r="I7" s="13"/>
      <c r="J7" s="14">
        <f>SUM(G7:H7)</f>
        <v>26</v>
      </c>
      <c r="K7" s="20"/>
      <c r="L7" s="26" t="s">
        <v>38</v>
      </c>
      <c r="M7" s="67">
        <f>269-10</f>
        <v>259</v>
      </c>
      <c r="N7" s="67"/>
      <c r="O7" s="27"/>
    </row>
    <row r="8" spans="1:17">
      <c r="A8" s="7">
        <v>7</v>
      </c>
      <c r="B8" s="8" t="s">
        <v>22</v>
      </c>
      <c r="C8" s="9" t="s">
        <v>228</v>
      </c>
      <c r="D8" s="9"/>
      <c r="E8" s="11" t="b">
        <v>1</v>
      </c>
      <c r="F8" s="9" t="s">
        <v>242</v>
      </c>
      <c r="G8" s="13">
        <f>IF(C8&lt;&gt;"", M8, 0)</f>
        <v>26</v>
      </c>
      <c r="H8" s="13">
        <f>IF(D8&lt;&gt;"", M14, 0)</f>
        <v>0</v>
      </c>
      <c r="I8" s="13"/>
      <c r="J8" s="14">
        <f>SUM(G8:H8)</f>
        <v>26</v>
      </c>
      <c r="K8" s="20"/>
      <c r="L8" s="26" t="s">
        <v>39</v>
      </c>
      <c r="M8" s="67">
        <f>ROUND(M7/M6,0)</f>
        <v>26</v>
      </c>
      <c r="N8" s="67"/>
      <c r="O8" s="21"/>
    </row>
    <row r="9" spans="1:17">
      <c r="A9" s="7">
        <v>8</v>
      </c>
      <c r="B9" s="8" t="s">
        <v>23</v>
      </c>
      <c r="C9" s="9" t="s">
        <v>213</v>
      </c>
      <c r="D9" s="9"/>
      <c r="E9" s="11" t="b">
        <v>1</v>
      </c>
      <c r="F9" s="9"/>
      <c r="G9" s="13">
        <f>IF(C9&lt;&gt;"", M8, 0)</f>
        <v>26</v>
      </c>
      <c r="H9" s="13">
        <f>IF(D9&lt;&gt;"", M14, 0)</f>
        <v>0</v>
      </c>
      <c r="J9" s="14">
        <f>SUM(G9:H9)</f>
        <v>26</v>
      </c>
      <c r="K9" s="28"/>
      <c r="L9" s="29"/>
      <c r="M9" s="30"/>
      <c r="N9" s="31"/>
      <c r="O9" s="5"/>
    </row>
    <row r="10" spans="1:17" ht="15">
      <c r="A10" s="7">
        <v>9</v>
      </c>
      <c r="B10" s="13" t="s">
        <v>24</v>
      </c>
      <c r="C10" s="9" t="s">
        <v>228</v>
      </c>
      <c r="D10" s="9"/>
      <c r="E10" s="11" t="b">
        <v>1</v>
      </c>
      <c r="F10" s="32"/>
      <c r="G10" s="13">
        <f>IF(C10&lt;&gt;"", M8, 0)</f>
        <v>26</v>
      </c>
      <c r="H10" s="13">
        <f>IF(D10&lt;&gt;"", M14, 0)</f>
        <v>0</v>
      </c>
      <c r="I10" s="13"/>
      <c r="J10" s="14">
        <f>SUM(G10:H10)</f>
        <v>26</v>
      </c>
      <c r="K10" s="2"/>
      <c r="L10" s="3"/>
      <c r="M10" s="15"/>
      <c r="N10" s="4"/>
      <c r="O10" s="5"/>
    </row>
    <row r="11" spans="1:17">
      <c r="A11" s="7">
        <v>10</v>
      </c>
      <c r="B11" s="13" t="s">
        <v>25</v>
      </c>
      <c r="C11" s="9" t="s">
        <v>243</v>
      </c>
      <c r="D11" s="9"/>
      <c r="E11" s="11" t="b">
        <v>1</v>
      </c>
      <c r="F11" s="9"/>
      <c r="G11" s="13">
        <f>IF(C11&lt;&gt;"", M8, 0)</f>
        <v>26</v>
      </c>
      <c r="H11" s="13">
        <f>IF(D11&lt;&gt;"", M14, 0)</f>
        <v>0</v>
      </c>
      <c r="I11" s="13"/>
      <c r="J11" s="14">
        <f>SUM(G11:H11)</f>
        <v>26</v>
      </c>
      <c r="K11" s="20"/>
      <c r="L11" s="70" t="s">
        <v>40</v>
      </c>
      <c r="M11" s="70"/>
      <c r="N11" s="70"/>
      <c r="O11" s="5"/>
    </row>
    <row r="12" spans="1:17" ht="15">
      <c r="A12" s="7">
        <v>11</v>
      </c>
      <c r="B12" s="13"/>
      <c r="C12" s="9"/>
      <c r="D12" s="33"/>
      <c r="E12" s="11" t="b">
        <v>0</v>
      </c>
      <c r="F12" s="32"/>
      <c r="G12" s="13">
        <f>IF(C12&lt;&gt;"", M8, 0)</f>
        <v>0</v>
      </c>
      <c r="H12" s="13">
        <f>IF(D12&lt;&gt;"", M14, 0)</f>
        <v>0</v>
      </c>
      <c r="I12" s="13"/>
      <c r="J12" s="14">
        <f>SUM(G12:H12)</f>
        <v>0</v>
      </c>
      <c r="K12" s="20"/>
      <c r="L12" s="24" t="s">
        <v>37</v>
      </c>
      <c r="M12" s="71">
        <f>COUNTA(D2:D16)</f>
        <v>0</v>
      </c>
      <c r="N12" s="71"/>
      <c r="O12" s="5"/>
    </row>
    <row r="13" spans="1:17">
      <c r="A13" s="7">
        <v>12</v>
      </c>
      <c r="B13" s="13"/>
      <c r="C13" s="9"/>
      <c r="D13" s="9"/>
      <c r="E13" s="11" t="b">
        <v>0</v>
      </c>
      <c r="F13" s="9"/>
      <c r="G13" s="13">
        <f>IF(C13&lt;&gt;"", M8, 0)</f>
        <v>0</v>
      </c>
      <c r="H13" s="13">
        <f>IF(D13&lt;&gt;"", M14, 0)</f>
        <v>0</v>
      </c>
      <c r="I13" s="13"/>
      <c r="J13" s="14">
        <f>SUM(G13:H13)</f>
        <v>0</v>
      </c>
      <c r="K13" s="20"/>
      <c r="L13" s="26" t="s">
        <v>38</v>
      </c>
      <c r="M13" s="67"/>
      <c r="N13" s="67"/>
      <c r="O13" s="34"/>
    </row>
    <row r="14" spans="1:17">
      <c r="A14" s="7">
        <v>13</v>
      </c>
      <c r="B14" s="13"/>
      <c r="C14" s="12"/>
      <c r="D14" s="12"/>
      <c r="E14" s="11" t="b">
        <v>0</v>
      </c>
      <c r="F14" s="9"/>
      <c r="G14" s="13">
        <f>IF(C14&lt;&gt;"", M8, 0)</f>
        <v>0</v>
      </c>
      <c r="H14" s="13">
        <f>IF(D14&lt;&gt;"", M14, 0)</f>
        <v>0</v>
      </c>
      <c r="I14" s="13"/>
      <c r="J14" s="14">
        <f>SUM(G14:H14)</f>
        <v>0</v>
      </c>
      <c r="K14" s="20"/>
      <c r="L14" s="26" t="s">
        <v>39</v>
      </c>
      <c r="M14" s="67" t="e">
        <f>ROUNDUP(M13/M12,0)</f>
        <v>#DIV/0!</v>
      </c>
      <c r="N14" s="67"/>
      <c r="O14" s="5"/>
    </row>
    <row r="15" spans="1:17">
      <c r="A15" s="7">
        <v>14</v>
      </c>
      <c r="B15" s="13"/>
      <c r="C15" s="9"/>
      <c r="D15" s="9"/>
      <c r="E15" s="11" t="b">
        <v>0</v>
      </c>
      <c r="F15" s="12"/>
      <c r="G15" s="13">
        <f>IF(C15&lt;&gt;"", M8, 0)</f>
        <v>0</v>
      </c>
      <c r="H15" s="13">
        <f>IF(D15&lt;&gt;"", M14, 0)</f>
        <v>0</v>
      </c>
      <c r="I15" s="13"/>
      <c r="J15" s="14">
        <f>SUM(G15:H15)</f>
        <v>0</v>
      </c>
      <c r="K15" s="2"/>
      <c r="L15" s="3"/>
      <c r="M15" s="15"/>
      <c r="N15" s="4"/>
      <c r="O15" s="5"/>
    </row>
    <row r="16" spans="1:17">
      <c r="A16" s="7">
        <v>15</v>
      </c>
      <c r="B16" s="13"/>
      <c r="C16" s="9"/>
      <c r="D16" s="9"/>
      <c r="E16" s="11" t="b">
        <v>0</v>
      </c>
      <c r="F16" s="9"/>
      <c r="G16" s="13">
        <f>IF(C16&lt;&gt;"", M8, 0)</f>
        <v>0</v>
      </c>
      <c r="H16" s="13">
        <f>IF(D16&lt;&gt;"", M14, 0)</f>
        <v>0</v>
      </c>
      <c r="I16" s="13"/>
      <c r="J16" s="14">
        <f>SUM(G16:H16)</f>
        <v>0</v>
      </c>
      <c r="K16" s="2"/>
      <c r="L16" s="3"/>
      <c r="M16" s="15"/>
      <c r="N16" s="4"/>
      <c r="O16" s="5"/>
    </row>
    <row r="17" spans="1:15" ht="30">
      <c r="A17" s="68" t="s">
        <v>43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</row>
    <row r="18" spans="1:15">
      <c r="A18" s="20"/>
      <c r="B18" s="20"/>
      <c r="C18" s="20"/>
      <c r="D18" s="20"/>
      <c r="E18" s="20"/>
      <c r="F18" s="20"/>
      <c r="G18" s="20">
        <f>SUM(G2:G16)</f>
        <v>260</v>
      </c>
      <c r="H18" s="20"/>
      <c r="I18" s="20"/>
      <c r="J18" s="35">
        <f>SUM(J2:J16)</f>
        <v>270</v>
      </c>
      <c r="K18" s="35"/>
      <c r="L18" s="35"/>
    </row>
    <row r="19" spans="1:15">
      <c r="A19" s="20"/>
      <c r="B19" s="20"/>
      <c r="C19" s="20"/>
      <c r="D19" s="20"/>
      <c r="E19" s="20">
        <f>COUNTIF(E2:E16,TRUE)</f>
        <v>10</v>
      </c>
      <c r="F19" s="20"/>
      <c r="G19" s="37"/>
      <c r="H19" s="20"/>
      <c r="I19" s="20"/>
      <c r="J19" s="35"/>
      <c r="K19" s="35"/>
      <c r="L19" s="35" t="s">
        <v>17</v>
      </c>
      <c r="M19">
        <v>269</v>
      </c>
    </row>
    <row r="20" spans="1:15">
      <c r="A20" s="20"/>
      <c r="B20" s="20"/>
      <c r="C20" s="20"/>
      <c r="D20" s="20"/>
      <c r="E20" s="20"/>
      <c r="F20" s="20"/>
      <c r="G20" s="20"/>
      <c r="H20" s="20"/>
      <c r="I20" s="20"/>
      <c r="J20" s="35"/>
      <c r="K20" s="35"/>
      <c r="L20" s="35" t="s">
        <v>16</v>
      </c>
      <c r="M20" s="35"/>
    </row>
    <row r="21" spans="1:15">
      <c r="A21" s="20"/>
      <c r="B21" s="20"/>
      <c r="C21" s="20"/>
      <c r="D21" s="20"/>
      <c r="E21" s="20"/>
      <c r="F21" s="20" t="s">
        <v>44</v>
      </c>
      <c r="G21" s="20"/>
      <c r="H21" s="20"/>
      <c r="I21" s="20"/>
      <c r="J21" s="35"/>
      <c r="K21" s="35"/>
      <c r="L21" s="35"/>
    </row>
    <row r="22" spans="1:15">
      <c r="A22" s="20"/>
      <c r="B22" s="20"/>
      <c r="C22" s="20"/>
      <c r="D22" s="20"/>
      <c r="E22" s="20"/>
      <c r="F22" s="20"/>
      <c r="G22" s="20"/>
      <c r="H22" s="20"/>
      <c r="I22" s="20"/>
      <c r="J22" s="35"/>
      <c r="K22" s="35"/>
      <c r="L22" s="35"/>
    </row>
    <row r="23" spans="1:15">
      <c r="A23" s="20"/>
      <c r="B23" s="20"/>
      <c r="C23" s="20"/>
      <c r="D23" s="20"/>
      <c r="E23" s="20"/>
      <c r="F23" s="20"/>
      <c r="G23" s="20"/>
      <c r="H23" s="20"/>
      <c r="I23" s="20"/>
      <c r="J23" s="35"/>
      <c r="K23" s="35"/>
      <c r="L23" s="35">
        <f>SUM(M20:M22)</f>
        <v>0</v>
      </c>
      <c r="M23" s="35"/>
      <c r="N23" s="35"/>
    </row>
    <row r="24" spans="1:15">
      <c r="A24" s="20"/>
      <c r="B24" s="20"/>
      <c r="C24" s="20"/>
      <c r="D24" s="20"/>
      <c r="E24" s="20"/>
      <c r="F24" s="20"/>
      <c r="G24" s="20"/>
      <c r="H24" s="20"/>
      <c r="I24" s="20"/>
      <c r="J24" s="35"/>
      <c r="K24" s="35"/>
      <c r="L24" s="35"/>
    </row>
  </sheetData>
  <sheetProtection sheet="1" objects="1" scenarios="1"/>
  <mergeCells count="9">
    <mergeCell ref="M13:N13"/>
    <mergeCell ref="M14:N14"/>
    <mergeCell ref="A17:O17"/>
    <mergeCell ref="L5:N5"/>
    <mergeCell ref="M6:N6"/>
    <mergeCell ref="M7:N7"/>
    <mergeCell ref="M8:N8"/>
    <mergeCell ref="L11:N11"/>
    <mergeCell ref="M12:N12"/>
  </mergeCells>
  <conditionalFormatting sqref="C2:E16">
    <cfRule type="notContainsBlanks" dxfId="1" priority="3">
      <formula>LEN(TRIM(C2))&gt;0</formula>
    </cfRule>
    <cfRule type="containsBlanks" dxfId="0" priority="4">
      <formula>LEN(TRIM(C2))=0</formula>
    </cfRule>
  </conditionalFormatting>
  <hyperlinks>
    <hyperlink ref="G1" r:id="rId1" xr:uid="{4E4F6AF1-54CD-4D84-81D8-80765EAAE4A4}"/>
    <hyperlink ref="H1" r:id="rId2" xr:uid="{B259D32F-4EB6-4180-8AFF-5A2C3B1C6D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2026-06-11T03:50:06Z</dcterms:created>
  <dcterms:modified xsi:type="dcterms:W3CDTF">2026-06-19T15:38:49Z</dcterms:modified>
  <cp:category/>
  <cp:contentStatus/>
</cp:coreProperties>
</file>